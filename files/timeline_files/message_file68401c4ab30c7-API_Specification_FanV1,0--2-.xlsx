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sudha\Downloads\"/>
    </mc:Choice>
  </mc:AlternateContent>
  <bookViews>
    <workbookView xWindow="0" yWindow="0" windowWidth="23040" windowHeight="7344" tabRatio="500" activeTab="2"/>
  </bookViews>
  <sheets>
    <sheet name="General Information" sheetId="1" r:id="rId1"/>
    <sheet name="Example Frame " sheetId="2" r:id="rId2"/>
    <sheet name="Voltage" sheetId="8" r:id="rId3"/>
    <sheet name="Power" sheetId="16" r:id="rId4"/>
    <sheet name="HiddenSheet" sheetId="24"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0" i="16" l="1"/>
  <c r="D118" i="16"/>
  <c r="D117" i="16"/>
  <c r="D116" i="16"/>
  <c r="D79" i="16"/>
  <c r="D77" i="16"/>
  <c r="D76" i="16"/>
  <c r="D75" i="16"/>
  <c r="C13" i="16"/>
  <c r="D12" i="16"/>
  <c r="D10" i="16"/>
  <c r="D9" i="16"/>
  <c r="D120" i="8"/>
  <c r="D118" i="8"/>
  <c r="D117" i="8"/>
  <c r="D116" i="8"/>
  <c r="D79" i="8"/>
  <c r="D77" i="8"/>
  <c r="D76" i="8"/>
  <c r="D75" i="8"/>
  <c r="C13" i="8"/>
  <c r="D12" i="8"/>
  <c r="D10" i="8"/>
  <c r="D9" i="8"/>
  <c r="D116" i="2"/>
  <c r="D115" i="2"/>
  <c r="D114" i="2"/>
  <c r="D113" i="2"/>
  <c r="D75" i="2"/>
  <c r="D74" i="2"/>
  <c r="D73" i="2"/>
  <c r="D72" i="2"/>
  <c r="D8" i="2"/>
  <c r="D7" i="2"/>
  <c r="D6" i="2"/>
  <c r="D5" i="2"/>
</calcChain>
</file>

<file path=xl/sharedStrings.xml><?xml version="1.0" encoding="utf-8"?>
<sst xmlns="http://schemas.openxmlformats.org/spreadsheetml/2006/main" count="1206" uniqueCount="499">
  <si>
    <t>Editable cell pl enter details in this color fomatted cell</t>
  </si>
  <si>
    <t xml:space="preserve">    </t>
  </si>
  <si>
    <t>Section</t>
  </si>
  <si>
    <t>Item</t>
  </si>
  <si>
    <t>Details</t>
  </si>
  <si>
    <t>Developer Notes(If Any)</t>
  </si>
  <si>
    <t>General Information</t>
  </si>
  <si>
    <t>Date</t>
  </si>
  <si>
    <t>25/1/2024</t>
  </si>
  <si>
    <t>Brand Name</t>
  </si>
  <si>
    <t>Brand Logo</t>
  </si>
  <si>
    <t>Product Name</t>
  </si>
  <si>
    <t>Other(Provide Name)</t>
  </si>
  <si>
    <t xml:space="preserve">Fan </t>
  </si>
  <si>
    <t>Product Description</t>
  </si>
  <si>
    <t>Firmware version</t>
  </si>
  <si>
    <t>EFACT V1.2</t>
  </si>
  <si>
    <t>Model Name</t>
  </si>
  <si>
    <t>Number of pages(Enter the total count of pages in the app)</t>
  </si>
  <si>
    <t>page names(List all page names, separated by commas)</t>
  </si>
  <si>
    <t xml:space="preserve">Device Configuration </t>
  </si>
  <si>
    <t>UI TYPE</t>
  </si>
  <si>
    <t>Name</t>
  </si>
  <si>
    <t>Sample</t>
  </si>
  <si>
    <t>Text (Default)</t>
  </si>
  <si>
    <t>Toggle Switch</t>
  </si>
  <si>
    <t>Slider</t>
  </si>
  <si>
    <t>Brightness Slider</t>
  </si>
  <si>
    <t>CCT Slider</t>
  </si>
  <si>
    <t>Saturation Slider</t>
  </si>
  <si>
    <t>Hue Slider</t>
  </si>
  <si>
    <t>Hue Circle</t>
  </si>
  <si>
    <t>Push button (Big)</t>
  </si>
  <si>
    <t>Dropdown</t>
  </si>
  <si>
    <t>Trigger</t>
  </si>
  <si>
    <t>DEVICE/PRODUCT</t>
  </si>
  <si>
    <t>Image</t>
  </si>
  <si>
    <t>Switch</t>
  </si>
  <si>
    <t>Lightbulb</t>
  </si>
  <si>
    <t>Light</t>
  </si>
  <si>
    <t>Fan</t>
  </si>
  <si>
    <t>Temperature Sensor</t>
  </si>
  <si>
    <t>Outlet</t>
  </si>
  <si>
    <t>Plug</t>
  </si>
  <si>
    <t>Socket</t>
  </si>
  <si>
    <t>Lock</t>
  </si>
  <si>
    <t>Internal Blinds</t>
  </si>
  <si>
    <t>External Blinds</t>
  </si>
  <si>
    <t>Garage Door</t>
  </si>
  <si>
    <t>Speaker</t>
  </si>
  <si>
    <t>Air Conditioner</t>
  </si>
  <si>
    <t>Thermostat</t>
  </si>
  <si>
    <t>TV</t>
  </si>
  <si>
    <t>Washer</t>
  </si>
  <si>
    <t>Contact Sensor</t>
  </si>
  <si>
    <t>Motion Sensor</t>
  </si>
  <si>
    <t>Door Bell</t>
  </si>
  <si>
    <t>Security Panel</t>
  </si>
  <si>
    <t>Other</t>
  </si>
  <si>
    <t>Operation Name</t>
  </si>
  <si>
    <t>COMMAND FRAME</t>
  </si>
  <si>
    <t>Parameter Definition</t>
  </si>
  <si>
    <t>Parameter Name</t>
  </si>
  <si>
    <t>Comments</t>
  </si>
  <si>
    <t>S.No</t>
  </si>
  <si>
    <t>Start Byte</t>
  </si>
  <si>
    <t>End Byte</t>
  </si>
  <si>
    <t>Field Description</t>
  </si>
  <si>
    <t xml:space="preserve">Number of Bytes </t>
  </si>
  <si>
    <t>Bit Size</t>
  </si>
  <si>
    <t>data type</t>
  </si>
  <si>
    <t xml:space="preserve">Value definition  </t>
  </si>
  <si>
    <t>display value (Min)</t>
  </si>
  <si>
    <t xml:space="preserve">display value(Max) </t>
  </si>
  <si>
    <t>Value in hex(Min)</t>
  </si>
  <si>
    <t xml:space="preserve"> Value in hex(Max)</t>
  </si>
  <si>
    <t>UI Type</t>
  </si>
  <si>
    <t>UI id</t>
  </si>
  <si>
    <t>UI description in/out</t>
  </si>
  <si>
    <t>part1 to part2</t>
  </si>
  <si>
    <t>other</t>
  </si>
  <si>
    <t>Tuning frame</t>
  </si>
  <si>
    <t>CommandID</t>
  </si>
  <si>
    <t>unsigned int</t>
  </si>
  <si>
    <t>fixed value</t>
  </si>
  <si>
    <t>no</t>
  </si>
  <si>
    <t>A1</t>
  </si>
  <si>
    <t>Frame Trigger</t>
  </si>
  <si>
    <t>Button</t>
  </si>
  <si>
    <t>Function Code</t>
  </si>
  <si>
    <t>f7</t>
  </si>
  <si>
    <t>Frame Type</t>
  </si>
  <si>
    <t>Command Frame</t>
  </si>
  <si>
    <t xml:space="preserve">part1=app ,part2=device </t>
  </si>
  <si>
    <t>Data</t>
  </si>
  <si>
    <t>Float</t>
  </si>
  <si>
    <t xml:space="preserve">Range value </t>
  </si>
  <si>
    <t>50.0</t>
  </si>
  <si>
    <t>3D CC CC CD</t>
  </si>
  <si>
    <t>42 48 00 00</t>
  </si>
  <si>
    <t>input</t>
  </si>
  <si>
    <t>resistor</t>
  </si>
  <si>
    <t>Data Flow Dierection</t>
  </si>
  <si>
    <t>App or Server to Device</t>
  </si>
  <si>
    <t>1.0</t>
  </si>
  <si>
    <t>3b 03 12 6f</t>
  </si>
  <si>
    <t>3f800000</t>
  </si>
  <si>
    <t>output</t>
  </si>
  <si>
    <t>Lmax</t>
  </si>
  <si>
    <t>Frame Size in Bytes</t>
  </si>
  <si>
    <t>Total Number of Bytes in a Frame</t>
  </si>
  <si>
    <t>Lmin</t>
  </si>
  <si>
    <t>Voice Command</t>
  </si>
  <si>
    <t>This frame includes or is related to a voice command feature.</t>
  </si>
  <si>
    <t>13 88</t>
  </si>
  <si>
    <t>61 A8</t>
  </si>
  <si>
    <t>frequency</t>
  </si>
  <si>
    <t>Voice Control Instruction Text</t>
  </si>
  <si>
    <t xml:space="preserve">Ex:Turn on Fan </t>
  </si>
  <si>
    <t>poles</t>
  </si>
  <si>
    <t>App Notification</t>
  </si>
  <si>
    <t>This frame triggers a notification in the corresponding application.</t>
  </si>
  <si>
    <t>3a 83 12 6f</t>
  </si>
  <si>
    <t>3f 00 00 00</t>
  </si>
  <si>
    <t>startupcurrent</t>
  </si>
  <si>
    <t>3e4ccccd</t>
  </si>
  <si>
    <t>Max current</t>
  </si>
  <si>
    <t>fa</t>
  </si>
  <si>
    <t>12c</t>
  </si>
  <si>
    <t>Min rpm</t>
  </si>
  <si>
    <t>bb8</t>
  </si>
  <si>
    <t>Max rpm</t>
  </si>
  <si>
    <t>7d0</t>
  </si>
  <si>
    <t>CurrentBW</t>
  </si>
  <si>
    <t>bemffreq</t>
  </si>
  <si>
    <t>bemfvoltage</t>
  </si>
  <si>
    <t>Terminator</t>
  </si>
  <si>
    <t>0A</t>
  </si>
  <si>
    <t>RESPONSE FRAME</t>
  </si>
  <si>
    <t>Tuning</t>
  </si>
  <si>
    <t>None</t>
  </si>
  <si>
    <t>Response Frame</t>
  </si>
  <si>
    <t>part1=device ,part2=app</t>
  </si>
  <si>
    <t>0:failed,1:success</t>
  </si>
  <si>
    <t>Device to App or Server</t>
  </si>
  <si>
    <t>0a</t>
  </si>
  <si>
    <t>ERROR FRAME</t>
  </si>
  <si>
    <t>Description</t>
  </si>
  <si>
    <t>Error Frame</t>
  </si>
  <si>
    <t>ff</t>
  </si>
  <si>
    <t>not editable</t>
  </si>
  <si>
    <t>Editable cell pl enter details in thisfomatted cell</t>
  </si>
  <si>
    <t>Command FRAME</t>
  </si>
  <si>
    <t>Start Byte position</t>
  </si>
  <si>
    <t>End Byte position</t>
  </si>
  <si>
    <t>UI Page No</t>
  </si>
  <si>
    <t xml:space="preserve"> </t>
  </si>
  <si>
    <t>App/Server to Device</t>
  </si>
  <si>
    <t>Read/Write</t>
  </si>
  <si>
    <t>Multiple UI</t>
  </si>
  <si>
    <t>Auto Trigger With Timer</t>
  </si>
  <si>
    <t xml:space="preserve">slider step value </t>
  </si>
  <si>
    <t>Device to App/Server</t>
  </si>
  <si>
    <t>String</t>
  </si>
  <si>
    <t>Incoming Frame</t>
  </si>
  <si>
    <t>y</t>
  </si>
  <si>
    <t>Direction</t>
  </si>
  <si>
    <t>Read</t>
  </si>
  <si>
    <t>power</t>
  </si>
  <si>
    <t>voltage</t>
  </si>
  <si>
    <t>Error Code</t>
  </si>
  <si>
    <t>Error Details</t>
  </si>
  <si>
    <t>Buzzer</t>
  </si>
  <si>
    <t>Voltage</t>
  </si>
  <si>
    <t>FFFFFFFF</t>
  </si>
  <si>
    <t>incoming frame</t>
  </si>
  <si>
    <t>Power</t>
  </si>
  <si>
    <t>off</t>
  </si>
  <si>
    <t>on</t>
  </si>
  <si>
    <t>0x00:off,0x01:on</t>
  </si>
  <si>
    <t>Speed</t>
  </si>
  <si>
    <t>as per ui</t>
  </si>
  <si>
    <t>as per ui values</t>
  </si>
  <si>
    <t>C2</t>
  </si>
  <si>
    <t>[“off”,”on”]</t>
  </si>
  <si>
    <t>[“00”,”01”]</t>
  </si>
  <si>
    <t>Notification Frame</t>
  </si>
  <si>
    <t>Operation Code</t>
  </si>
  <si>
    <t>Write</t>
  </si>
  <si>
    <t>yes</t>
  </si>
  <si>
    <t>Type</t>
  </si>
  <si>
    <t>DataType</t>
  </si>
  <si>
    <t>Properties</t>
  </si>
  <si>
    <t>Min, Max, Step</t>
  </si>
  <si>
    <t>comments</t>
  </si>
  <si>
    <t>Command Definition</t>
  </si>
  <si>
    <t>Command ID</t>
  </si>
  <si>
    <t>Frame Structure</t>
  </si>
  <si>
    <t>Command Description</t>
  </si>
  <si>
    <t>Turn on/off</t>
  </si>
  <si>
    <t>efactor.param.name</t>
  </si>
  <si>
    <t>Default</t>
  </si>
  <si>
    <t>Read, Write</t>
  </si>
  <si>
    <t>1, 32, -</t>
  </si>
  <si>
    <t>A unique identifier for the device or function.</t>
  </si>
  <si>
    <t>Data Parsing</t>
  </si>
  <si>
    <t>Byte Position</t>
  </si>
  <si>
    <t>1-2</t>
  </si>
  <si>
    <t>efactor.param.power</t>
  </si>
  <si>
    <t>Bool</t>
  </si>
  <si>
    <t>efactor.ui.toggle</t>
  </si>
  <si>
    <t>N/A</t>
  </si>
  <si>
    <t>A toggle parameter to switch the device power on or off.</t>
  </si>
  <si>
    <t>Response Structure</t>
  </si>
  <si>
    <t>Byte Description</t>
  </si>
  <si>
    <t>Identifies the command</t>
  </si>
  <si>
    <t>Brightness</t>
  </si>
  <si>
    <t>efactor.param.brightness</t>
  </si>
  <si>
    <t>Int</t>
  </si>
  <si>
    <t>efactor.ui.slider</t>
  </si>
  <si>
    <t>0, 100, 1</t>
  </si>
  <si>
    <t>Controls the brightness level of the device, with a range from 0 to 100.</t>
  </si>
  <si>
    <t>Error Handling</t>
  </si>
  <si>
    <t>Byte Value / Range</t>
  </si>
  <si>
    <t>CCT</t>
  </si>
  <si>
    <t>efactor.param.cct</t>
  </si>
  <si>
    <t>2700, 6500, 100</t>
  </si>
  <si>
    <t xml:space="preserve"> Adjusts the color temperature of the light source within the range of 2700K to 6500K.</t>
  </si>
  <si>
    <t>Developer Notes</t>
  </si>
  <si>
    <t>Data Type</t>
  </si>
  <si>
    <t>Hexadecimal</t>
  </si>
  <si>
    <t>Hue</t>
  </si>
  <si>
    <t>efactor.param.hue</t>
  </si>
  <si>
    <t>0, 360, 1</t>
  </si>
  <si>
    <t>Sets the color hue for lighting, with a possible value from 0 to 360 degrees on the color wheel.</t>
  </si>
  <si>
    <t>Data Size</t>
  </si>
  <si>
    <t>4 bytes</t>
  </si>
  <si>
    <t>Saturation</t>
  </si>
  <si>
    <t>efactor.param.saturation</t>
  </si>
  <si>
    <t>Determines the intensity of the color hue from 0 (grey) to 100 (full saturation).</t>
  </si>
  <si>
    <t>Endianess</t>
  </si>
  <si>
    <t>Big-endian</t>
  </si>
  <si>
    <t>Intensity</t>
  </si>
  <si>
    <t>efactor.param.intensity</t>
  </si>
  <si>
    <t>Regulates the intensity of the signal or light source.</t>
  </si>
  <si>
    <t>Encoding</t>
  </si>
  <si>
    <t>ASCII</t>
  </si>
  <si>
    <t>efactor.param.speed</t>
  </si>
  <si>
    <t>0, 5, 1</t>
  </si>
  <si>
    <t>Adjusts the speed of the device function, within a scale of 0 to 5.</t>
  </si>
  <si>
    <t>Response ID</t>
  </si>
  <si>
    <t>A1R</t>
  </si>
  <si>
    <t>efactor.param.direction</t>
  </si>
  <si>
    <t>efactor.ui.dropdown</t>
  </si>
  <si>
    <t>0, 1, 1</t>
  </si>
  <si>
    <t>Selects the direction of motion or orientation; typically '0' for one direction and '1' for the opposite.</t>
  </si>
  <si>
    <t>Response Format</t>
  </si>
  <si>
    <t>Command execution result</t>
  </si>
  <si>
    <t>Temperature</t>
  </si>
  <si>
    <t>efactor.param.temperature</t>
  </si>
  <si>
    <t>Monitors or sets the temperature; the specific range is not defined here.</t>
  </si>
  <si>
    <t>Error Codes</t>
  </si>
  <si>
    <t>E1, E2, E3</t>
  </si>
  <si>
    <t>Toggle Controller</t>
  </si>
  <si>
    <t>efactor.param.toggle</t>
  </si>
  <si>
    <t>Any type/Applicable</t>
  </si>
  <si>
    <t>A generic toggle switch applicable to various functions.</t>
  </si>
  <si>
    <t>Error Descriptions</t>
  </si>
  <si>
    <t>Invalid command, Execution failure, etc.</t>
  </si>
  <si>
    <t>Range Controller</t>
  </si>
  <si>
    <t>Int/Float</t>
  </si>
  <si>
    <t>App specific</t>
  </si>
  <si>
    <t>A controller that operates over a specific range, tailored to the application's requirements.</t>
  </si>
  <si>
    <t>Special Instructions</t>
  </si>
  <si>
    <t>Checksum calculation details</t>
  </si>
  <si>
    <t>Mode Controller</t>
  </si>
  <si>
    <t>efactor.param.mode</t>
  </si>
  <si>
    <t>Allows for the selection of various predefined modes of operation.</t>
  </si>
  <si>
    <t>Edge Cases</t>
  </si>
  <si>
    <t>Handling of unexpected values</t>
  </si>
  <si>
    <t>Setpoint Temperature</t>
  </si>
  <si>
    <t>efactor.param.setpoint-temperature</t>
  </si>
  <si>
    <t xml:space="preserve"> The target temperature for the system to maintain.</t>
  </si>
  <si>
    <t>Lock State</t>
  </si>
  <si>
    <t>efactor.param.lockstate</t>
  </si>
  <si>
    <t>0, 2, 1</t>
  </si>
  <si>
    <t>Indicates or sets the lock state of the device, with '0' for unlocked, '1' for locked, and '2' for jammed or in error.</t>
  </si>
  <si>
    <t>efactor.param.blinds-position</t>
  </si>
  <si>
    <t>Reserved for additional parameters or miscellaneous settings.</t>
  </si>
  <si>
    <t>Garage Position</t>
  </si>
  <si>
    <t>efactor.param.garage-position</t>
  </si>
  <si>
    <t xml:space="preserve"> Reflects or controls the position of a garage door, from fully closed (0) to fully open (100).</t>
  </si>
  <si>
    <t>Light Mode</t>
  </si>
  <si>
    <t>efactor.param.light-mode</t>
  </si>
  <si>
    <t>Specifies the lighting mode, which could include values like '0' for off, '1' for on, or '2' for auto based on ambient conditions.</t>
  </si>
  <si>
    <t>AC Mode</t>
  </si>
  <si>
    <t>efactor.paran.ac-mode</t>
  </si>
  <si>
    <t>Sets the operating mode of the air conditioning system.</t>
  </si>
  <si>
    <t>Media State</t>
  </si>
  <si>
    <t>efactor.param.media-activity-state</t>
  </si>
  <si>
    <t>Represents the current state of a media device, such as playing, paused, or stopped.</t>
  </si>
  <si>
    <t>Media Control</t>
  </si>
  <si>
    <t>efactor.param.media-activity-control</t>
  </si>
  <si>
    <t>Provides control commands for media playback.</t>
  </si>
  <si>
    <t>Volume</t>
  </si>
  <si>
    <t>efactor.param.volume</t>
  </si>
  <si>
    <t>0, 20, 1</t>
  </si>
  <si>
    <t>Adjusts the volume level from 0 (mute) to 20 (maximum).</t>
  </si>
  <si>
    <t>Mute</t>
  </si>
  <si>
    <t>efactor.param.mute</t>
  </si>
  <si>
    <t>Toggles the mute state on or off for the device.</t>
  </si>
  <si>
    <t>App Selector</t>
  </si>
  <si>
    <t>efactor.param.app-selector</t>
  </si>
  <si>
    <t>Selects between different application functionalities.</t>
  </si>
  <si>
    <t>Input Selector</t>
  </si>
  <si>
    <t>efactor.param.input-selector</t>
  </si>
  <si>
    <t>Chooses the input source for the device.</t>
  </si>
  <si>
    <t>Contact Detection State</t>
  </si>
  <si>
    <t>efactor.param.contact-detection-state</t>
  </si>
  <si>
    <t>bool</t>
  </si>
  <si>
    <t>Indicates whether contact has been made or broken, commonly used in security systems.</t>
  </si>
  <si>
    <t>Motion Detection State</t>
  </si>
  <si>
    <t>efactor.param.motion-detection-state</t>
  </si>
  <si>
    <t xml:space="preserve"> Reflects the presence of motion detected by a sensor.</t>
  </si>
  <si>
    <t>Arm State</t>
  </si>
  <si>
    <t>efactor.param.arm-state</t>
  </si>
  <si>
    <t>Controls or indicates the arming state of a security system.</t>
  </si>
  <si>
    <t>Fire Alarm State</t>
  </si>
  <si>
    <t>efactor.param.fire-alarm</t>
  </si>
  <si>
    <t xml:space="preserve"> Indicates the state of a fire alarm, such as active or inactive.</t>
  </si>
  <si>
    <t>Water Alarm State</t>
  </si>
  <si>
    <t>efactor.param.water-alarm</t>
  </si>
  <si>
    <t xml:space="preserve"> Represents the alarm state for water detection systems.</t>
  </si>
  <si>
    <t>CO Detection State</t>
  </si>
  <si>
    <t>efactor.param.carbon-monoxide-alarm</t>
  </si>
  <si>
    <t>Reflects the carbon monoxide detection status.</t>
  </si>
  <si>
    <t>Burglary Alarm State</t>
  </si>
  <si>
    <t>efactor.param.burglary-alarm</t>
  </si>
  <si>
    <t>Indicates the status of the burglary alarm, such as triggered or not triggered.</t>
  </si>
  <si>
    <t>Range</t>
  </si>
  <si>
    <t>Identifier for the device or control point</t>
  </si>
  <si>
    <t>Control or status of the power state (on/off)</t>
  </si>
  <si>
    <t>Binary</t>
  </si>
  <si>
    <t>Adjust the brightness level of a lighting device</t>
  </si>
  <si>
    <t>Signed Int</t>
  </si>
  <si>
    <t>Set or read the color temperature of lighting (measured in Kelvins)</t>
  </si>
  <si>
    <t>Adjust the color hue of an RGB lighting device</t>
  </si>
  <si>
    <t>Parameter ValueRange(Min)</t>
  </si>
  <si>
    <t>Parameter ValueRange(Max)</t>
  </si>
  <si>
    <t>Adjust the color saturation of an RGB lighting device</t>
  </si>
  <si>
    <t>Set the intensity of a signal or light</t>
  </si>
  <si>
    <t>Control the speed of a device, such as a fan or motor</t>
  </si>
  <si>
    <t>Set the direction of movement or operation for a device</t>
  </si>
  <si>
    <t>Read or set the temperature for thermostats or sensors</t>
  </si>
  <si>
    <t>Switch the state of a device or setting between two modes</t>
  </si>
  <si>
    <t>Adjust a value within a specified range, such as volume or brightness</t>
  </si>
  <si>
    <t>Change the operating mode of a device (e.g., eco mode, performance mode)</t>
  </si>
  <si>
    <t>Set the desired target temperature for a climate control system</t>
  </si>
  <si>
    <t>Control or check the lock/unlock status of a security device</t>
  </si>
  <si>
    <t>Adjust the position of smart blinds or shades</t>
  </si>
  <si>
    <t>Open, close, or stop a smart garage door</t>
  </si>
  <si>
    <t>Change between different lighting modes or scenes</t>
  </si>
  <si>
    <t>Set the mode of an air conditioning unit (e.g., cool, heat, fan)</t>
  </si>
  <si>
    <t>Get or set the state of a media device (e.g., playing, paused, stopped)</t>
  </si>
  <si>
    <t>Send control commands to media devices (e.g., play, pause, next)</t>
  </si>
  <si>
    <t>Adjust the volume level of a media device</t>
  </si>
  <si>
    <t>Mute or unmute the sound of a media device</t>
  </si>
  <si>
    <t>Choose between different applications on a smart device</t>
  </si>
  <si>
    <t>Select the input source on a device like a TV or stereo</t>
  </si>
  <si>
    <t>Monitor the state of contact sensors (e.g., door/window open or closed)</t>
  </si>
  <si>
    <t>Check for motion detection alerts from sensors</t>
  </si>
  <si>
    <t>Arm or disarm a security system</t>
  </si>
  <si>
    <t>Monitor the state of fire alarms (e.g., triggered or not)</t>
  </si>
  <si>
    <t>Monitor the state of water leak sensors</t>
  </si>
  <si>
    <t>Check the status of carbon monoxide detectors</t>
  </si>
  <si>
    <t>Monitor the status of burglary alarms</t>
  </si>
  <si>
    <t>s.no</t>
  </si>
  <si>
    <t>Checksum</t>
  </si>
  <si>
    <t>Action ID</t>
  </si>
  <si>
    <t>Notification ID</t>
  </si>
  <si>
    <t>Data Flow Direction</t>
  </si>
  <si>
    <t>Data is transmitted from the application or server downstream to the device.</t>
  </si>
  <si>
    <t>Data is transmitted from the device upstream to the application or server.</t>
  </si>
  <si>
    <t>Big Endian</t>
  </si>
  <si>
    <t>Little Endian</t>
  </si>
  <si>
    <t>This frame is a command that can originate from the application, server, or device, used to initiate an action or request information.</t>
  </si>
  <si>
    <t xml:space="preserve"> This frame is a response from the target of the command, whether it's the device, server, or application, providing confirmation, requested data, or status updates.</t>
  </si>
  <si>
    <t>This frame is sent when an error is detected, indicating an issue or exception has occurred, and may include error codes or diagnostic details. It can originate from any participant in the communication process (application, server, or device).</t>
  </si>
  <si>
    <t>whenever a user interacts with the device's local controls, the device sends an immediate notification to the server/app, which allows for real-time updates and synchronization between the local interface and the remote monitoring system.</t>
  </si>
  <si>
    <t>Data Types</t>
  </si>
  <si>
    <t>Requirements</t>
  </si>
  <si>
    <t>Displays information in text format, often used for labels or static descriptions.</t>
  </si>
  <si>
    <t>efactor.ui.text</t>
  </si>
  <si>
    <t>All</t>
  </si>
  <si>
    <t>Allows the user to switch a setting on or off, like a light switch.</t>
  </si>
  <si>
    <t>Provides a way to adjust a value within a range by sliding a marker horizontally or vertically.</t>
  </si>
  <si>
    <t>Int, Float</t>
  </si>
  <si>
    <t>Bounds (min, max)</t>
  </si>
  <si>
    <t>Specifically controls the brightness level, usually for lighting devices, within a defined range.</t>
  </si>
  <si>
    <t>Param type =efactor.param.brightness</t>
  </si>
  <si>
    <t>Adjusts the correlated color temperature for lighting, allowing selection of a color temperature within the supported spectrum.</t>
  </si>
  <si>
    <t>Param type = efactor.param.cct</t>
  </si>
  <si>
    <t>Modifies the color saturation level, typically for lighting or display settings, to make colors more or less vivid.</t>
  </si>
  <si>
    <t>Param type =efactor.param.saturation</t>
  </si>
  <si>
    <t>Changes the color hue, applicable in lighting or display systems, across the full color spectrum.</t>
  </si>
  <si>
    <t>efactor.ui.hue-slider</t>
  </si>
  <si>
    <t>Param type =efactor.param.hue</t>
  </si>
  <si>
    <t>Allows selection of a color hue from a circular palette, often used in color picking tools.</t>
  </si>
  <si>
    <t>efactor.ui.hue-circle</t>
  </si>
  <si>
    <t>A larger button that is typically used for primary actions or commands that require emphasis or immediate attention.</t>
  </si>
  <si>
    <t>efactor.ui.push-btn-big</t>
  </si>
  <si>
    <t>Presents a list of options where the user can select one. Often used for settings that have multiple predefined choices.</t>
  </si>
  <si>
    <t>Int/String</t>
  </si>
  <si>
    <t>Bounds (min/max) for Int/Valid strs for String</t>
  </si>
  <si>
    <t>An interface element that initiates a specific action or sequence of actions when activated.</t>
  </si>
  <si>
    <t>efactor.ui.trigger</t>
  </si>
  <si>
    <t xml:space="preserve"> The frame is sent when the designated button is pressed.</t>
  </si>
  <si>
    <t>Automatically initiates an action or sends a frame after a set period, used in cases where timing is crucial, such as in timeouts or scheduled tasks.</t>
  </si>
  <si>
    <t>Indicates no user interface element is associated with this parameter, possibly used for internal or system-level parameters not exposed to the user.</t>
  </si>
  <si>
    <t>An action or sends a frame after it receives a frame.</t>
  </si>
  <si>
    <t>Params</t>
  </si>
  <si>
    <t>GVA</t>
  </si>
  <si>
    <t>Alexa</t>
  </si>
  <si>
    <t>efactor.device.switch</t>
  </si>
  <si>
    <t>Name, Power*</t>
  </si>
  <si>
    <t>SWITCH</t>
  </si>
  <si>
    <t>efactor.device.lightbulb</t>
  </si>
  <si>
    <t>Name, Power*, Brightness, Color Temperature, Hue, Saturation, Intensity, Light Mode</t>
  </si>
  <si>
    <t>LIGHT</t>
  </si>
  <si>
    <t>efactor.device.light</t>
  </si>
  <si>
    <t>efactor.device.fan</t>
  </si>
  <si>
    <t>Name, Power*, Speed, Direction</t>
  </si>
  <si>
    <t>FAN</t>
  </si>
  <si>
    <t>efactor.device.temperature-sensor</t>
  </si>
  <si>
    <t>Name, Temperature*</t>
  </si>
  <si>
    <t>X</t>
  </si>
  <si>
    <t>TEMPERATURE</t>
  </si>
  <si>
    <t>_SENSOR</t>
  </si>
  <si>
    <t>efactor.device.outlet</t>
  </si>
  <si>
    <t>OUTLET</t>
  </si>
  <si>
    <t>SMARTPLUG</t>
  </si>
  <si>
    <t>efactor.device.plug</t>
  </si>
  <si>
    <t>efactor.device.socket</t>
  </si>
  <si>
    <t>efactor.device.lock</t>
  </si>
  <si>
    <t>Name,Lock State*</t>
  </si>
  <si>
    <t>LOCK</t>
  </si>
  <si>
    <t>SMARTLOCK</t>
  </si>
  <si>
    <t>efactor.device.blinds-internal</t>
  </si>
  <si>
    <t>Name,Blinds Position*</t>
  </si>
  <si>
    <t>BLINDS</t>
  </si>
  <si>
    <t>INTERIOR_BLIND</t>
  </si>
  <si>
    <t>efactor.device.blinds-external</t>
  </si>
  <si>
    <t>EXTERIOR_BLIND</t>
  </si>
  <si>
    <t>efactor.device.garage-door</t>
  </si>
  <si>
    <t>Name,Garage Position*, Lock State</t>
  </si>
  <si>
    <t>GARAGE</t>
  </si>
  <si>
    <t>GARAGE_DOOR</t>
  </si>
  <si>
    <t>efactor.device.speaker</t>
  </si>
  <si>
    <t>Name, Power*, Media State, Media Control, Volume, Mute</t>
  </si>
  <si>
    <t>SPEAKER</t>
  </si>
  <si>
    <t>efactor.device.air-conditioner</t>
  </si>
  <si>
    <t>Name, Power*, Setpoint Temperature, Fan Speed, AC Mode</t>
  </si>
  <si>
    <t>AC_UNIT</t>
  </si>
  <si>
    <t>AIR_CONDITIONER</t>
  </si>
  <si>
    <t>efactor.device.thermostat</t>
  </si>
  <si>
    <t>Name, Setpoint Temperature*, AC Mode, Power</t>
  </si>
  <si>
    <t>THERMOSTAT</t>
  </si>
  <si>
    <t>efactor.device.tv</t>
  </si>
  <si>
    <t>Name, Power*, Media State, Media Control App Selector, Input Selector, Volume, Mute</t>
  </si>
  <si>
    <t>efactor.device.washer</t>
  </si>
  <si>
    <t>Name, Mode</t>
  </si>
  <si>
    <t>WASHER</t>
  </si>
  <si>
    <t>efactor.device.contact-sensor</t>
  </si>
  <si>
    <t>Name,Contact Detection State*</t>
  </si>
  <si>
    <t>CONTACT_SENSOR</t>
  </si>
  <si>
    <t>efactor.device.motion-sensor</t>
  </si>
  <si>
    <t>Name,Motion Detection State*</t>
  </si>
  <si>
    <t>MOTION_SENSOR</t>
  </si>
  <si>
    <t>efactor.device.doorbell</t>
  </si>
  <si>
    <t>Name,Pressed State*</t>
  </si>
  <si>
    <t>DOORBELL</t>
  </si>
  <si>
    <t>efactor.device.security-panel</t>
  </si>
  <si>
    <t>Name, Arm State*,Fire Alarm State,Water Alarm State,CO Alarm State,Burglary Alarm State</t>
  </si>
  <si>
    <t>SECURITY_PANEL</t>
  </si>
  <si>
    <t>efactor.device.other</t>
  </si>
  <si>
    <t>OTHER</t>
  </si>
  <si>
    <t xml:space="preserve">Bit Size  </t>
  </si>
  <si>
    <t xml:space="preserve">Bit structure  </t>
  </si>
  <si>
    <t xml:space="preserve">value discirption </t>
  </si>
  <si>
    <t>read/write</t>
  </si>
  <si>
    <t>LSB</t>
  </si>
  <si>
    <t>MSB</t>
  </si>
  <si>
    <t>LSB/MSB</t>
  </si>
  <si>
    <t>Mode value</t>
  </si>
  <si>
    <t>MSB/LSB</t>
  </si>
  <si>
    <t>Ascii Value</t>
  </si>
  <si>
    <t>LSB1</t>
  </si>
  <si>
    <t>Binary Value</t>
  </si>
  <si>
    <t>LSB2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</si>
</sst>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Red]0"/>
    <numFmt numFmtId="165" formatCode="&quot;TRUE&quot;;&quot;TRUE&quot;;&quot;FALSE&quot;"/>
    <numFmt numFmtId="166" formatCode="dd/mmm/yy"/>
  </numFmts>
  <fonts count="22">
    <font>
      <sz val="11"/>
      <color rgb="FF000000"/>
      <name val="Calibri"/>
      <charset val="1"/>
    </font>
    <font>
      <b/>
      <sz val="11"/>
      <color rgb="FF000000"/>
      <name val="Calibri"/>
      <charset val="1"/>
    </font>
    <font>
      <b/>
      <sz val="11"/>
      <color rgb="FF24292E"/>
      <name val="Calibri"/>
      <charset val="1"/>
    </font>
    <font>
      <sz val="10"/>
      <color rgb="FF24292E"/>
      <name val="Calibri"/>
      <charset val="1"/>
    </font>
    <font>
      <sz val="10"/>
      <color rgb="FF000000"/>
      <name val="Calibri"/>
      <charset val="1"/>
    </font>
    <font>
      <sz val="11"/>
      <color rgb="FF000000"/>
      <name val="Segoe UI"/>
      <charset val="1"/>
    </font>
    <font>
      <b/>
      <sz val="12"/>
      <color rgb="FF000000"/>
      <name val="Calibri"/>
      <charset val="1"/>
    </font>
    <font>
      <sz val="10"/>
      <color rgb="FF000000"/>
      <name val="Segoe UI"/>
      <charset val="1"/>
    </font>
    <font>
      <b/>
      <sz val="8"/>
      <color rgb="FF333333"/>
      <name val="Inherit"/>
      <charset val="1"/>
    </font>
    <font>
      <b/>
      <sz val="11"/>
      <color rgb="FF333333"/>
      <name val="Calibri"/>
      <charset val="1"/>
    </font>
    <font>
      <sz val="8"/>
      <color rgb="FF333333"/>
      <name val="Inherit"/>
      <charset val="1"/>
    </font>
    <font>
      <sz val="11"/>
      <color rgb="FF333333"/>
      <name val="Calibri"/>
      <charset val="1"/>
    </font>
    <font>
      <b/>
      <sz val="18"/>
      <color rgb="FF000000"/>
      <name val="Calibri"/>
      <charset val="1"/>
    </font>
    <font>
      <b/>
      <sz val="18"/>
      <name val="Calibri"/>
      <charset val="1"/>
    </font>
    <font>
      <sz val="28"/>
      <color rgb="FF000000"/>
      <name val="Calibri"/>
      <charset val="1"/>
    </font>
    <font>
      <b/>
      <sz val="18"/>
      <color rgb="FF2E2E2E"/>
      <name val="Calibri"/>
      <charset val="1"/>
    </font>
    <font>
      <b/>
      <sz val="18"/>
      <color rgb="FFFF0000"/>
      <name val="Calibri"/>
      <charset val="1"/>
    </font>
    <font>
      <b/>
      <sz val="18"/>
      <color rgb="FFFFFFFF"/>
      <name val="Calibri"/>
      <charset val="1"/>
    </font>
    <font>
      <b/>
      <sz val="11"/>
      <color rgb="FF2E2E2E"/>
      <name val="Calibri"/>
      <charset val="1"/>
    </font>
    <font>
      <b/>
      <sz val="11"/>
      <color rgb="FFFFFFFF"/>
      <name val="Calibri"/>
      <charset val="1"/>
    </font>
    <font>
      <b/>
      <sz val="11"/>
      <color rgb="FFFF0000"/>
      <name val="Calibri"/>
      <charset val="1"/>
    </font>
    <font>
      <b/>
      <sz val="10"/>
      <color rgb="FF000000"/>
      <name val="Calibri"/>
      <charset val="1"/>
    </font>
  </fonts>
  <fills count="10">
    <fill>
      <patternFill patternType="none"/>
    </fill>
    <fill>
      <patternFill patternType="gray125"/>
    </fill>
    <fill>
      <patternFill patternType="solid">
        <fgColor rgb="FFFFFFFF"/>
        <bgColor rgb="FFF6F8FA"/>
      </patternFill>
    </fill>
    <fill>
      <patternFill patternType="solid">
        <fgColor rgb="FFF6F8FA"/>
        <bgColor rgb="FFFFFFFF"/>
      </patternFill>
    </fill>
    <fill>
      <patternFill patternType="solid">
        <fgColor rgb="FFC3D69B"/>
        <bgColor rgb="FFD7E4BD"/>
      </patternFill>
    </fill>
    <fill>
      <patternFill patternType="solid">
        <fgColor rgb="FFC4BD97"/>
        <bgColor rgb="FFC3D69B"/>
      </patternFill>
    </fill>
    <fill>
      <patternFill patternType="solid">
        <fgColor rgb="FFE6B9B8"/>
        <bgColor rgb="FFC4BD97"/>
      </patternFill>
    </fill>
    <fill>
      <patternFill patternType="solid">
        <fgColor rgb="FF00B0F0"/>
        <bgColor rgb="FF33CCCC"/>
      </patternFill>
    </fill>
    <fill>
      <patternFill patternType="solid">
        <fgColor rgb="FFFDEADA"/>
        <bgColor rgb="FFF6F8FA"/>
      </patternFill>
    </fill>
    <fill>
      <patternFill patternType="solid">
        <fgColor rgb="FFD7E4BD"/>
        <bgColor rgb="FFC3D69B"/>
      </patternFill>
    </fill>
  </fills>
  <borders count="14">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rgb="FF376092"/>
      </left>
      <right style="thin">
        <color rgb="FF376092"/>
      </right>
      <top style="thin">
        <color rgb="FF376092"/>
      </top>
      <bottom style="thin">
        <color rgb="FF376092"/>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bottom/>
      <diagonal/>
    </border>
    <border>
      <left style="thin">
        <color rgb="FF376092"/>
      </left>
      <right/>
      <top/>
      <bottom/>
      <diagonal/>
    </border>
    <border>
      <left style="thin">
        <color auto="1"/>
      </left>
      <right/>
      <top/>
      <bottom style="thin">
        <color auto="1"/>
      </bottom>
      <diagonal/>
    </border>
    <border>
      <left/>
      <right/>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s>
  <cellStyleXfs count="1">
    <xf numFmtId="0" fontId="0" fillId="0" borderId="0"/>
  </cellStyleXfs>
  <cellXfs count="141">
    <xf numFmtId="0" fontId="0" fillId="0" borderId="0" xfId="0"/>
    <xf numFmtId="0" fontId="0" fillId="0" borderId="1" xfId="0" applyFont="1" applyBorder="1" applyAlignment="1">
      <alignment horizontal="left" vertical="top"/>
    </xf>
    <xf numFmtId="0" fontId="0" fillId="0" borderId="2" xfId="0" applyFont="1" applyBorder="1" applyAlignment="1">
      <alignment horizontal="left" vertical="top"/>
    </xf>
    <xf numFmtId="0" fontId="1" fillId="0" borderId="2" xfId="0" applyFont="1" applyBorder="1" applyAlignment="1">
      <alignment horizontal="left" vertical="top"/>
    </xf>
    <xf numFmtId="0" fontId="0" fillId="0" borderId="4" xfId="0" applyFont="1" applyBorder="1"/>
    <xf numFmtId="0" fontId="0" fillId="0" borderId="5" xfId="0" applyFont="1" applyBorder="1"/>
    <xf numFmtId="0" fontId="3" fillId="2" borderId="3"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3" xfId="0" applyFont="1" applyFill="1" applyBorder="1" applyAlignment="1">
      <alignment vertical="center" wrapText="1"/>
    </xf>
    <xf numFmtId="0" fontId="3" fillId="2" borderId="3" xfId="0" applyFont="1" applyFill="1" applyBorder="1" applyAlignment="1">
      <alignment vertical="center" wrapText="1"/>
    </xf>
    <xf numFmtId="0" fontId="0" fillId="0" borderId="6" xfId="0" applyFont="1" applyBorder="1"/>
    <xf numFmtId="0" fontId="0" fillId="0" borderId="0" xfId="0" applyAlignment="1">
      <alignment horizontal="left" vertical="top"/>
    </xf>
    <xf numFmtId="0" fontId="1" fillId="0" borderId="0" xfId="0" applyFont="1" applyAlignment="1">
      <alignment horizontal="left" vertical="top"/>
    </xf>
    <xf numFmtId="0" fontId="1" fillId="0" borderId="4" xfId="0" applyFont="1" applyBorder="1"/>
    <xf numFmtId="0" fontId="1" fillId="0" borderId="5" xfId="0" applyFont="1" applyBorder="1"/>
    <xf numFmtId="0" fontId="1" fillId="0" borderId="7" xfId="0" applyFont="1" applyBorder="1"/>
    <xf numFmtId="1" fontId="0" fillId="0" borderId="4" xfId="0" applyNumberFormat="1" applyBorder="1"/>
    <xf numFmtId="0" fontId="4" fillId="0" borderId="3" xfId="0" applyFont="1" applyBorder="1"/>
    <xf numFmtId="1" fontId="0" fillId="0" borderId="4" xfId="0" applyNumberFormat="1" applyBorder="1" applyAlignment="1">
      <alignment horizontal="right"/>
    </xf>
    <xf numFmtId="0" fontId="1" fillId="0" borderId="4" xfId="0" applyFont="1" applyBorder="1" applyAlignment="1">
      <alignment horizontal="left"/>
    </xf>
    <xf numFmtId="0" fontId="0" fillId="0" borderId="4" xfId="0" applyBorder="1" applyAlignment="1">
      <alignment horizontal="left"/>
    </xf>
    <xf numFmtId="0" fontId="5" fillId="0" borderId="5" xfId="0" applyFont="1" applyBorder="1"/>
    <xf numFmtId="0" fontId="6" fillId="0" borderId="5" xfId="0" applyFont="1" applyBorder="1" applyAlignment="1">
      <alignment horizontal="left"/>
    </xf>
    <xf numFmtId="0" fontId="6" fillId="0" borderId="5" xfId="0" applyFont="1" applyBorder="1"/>
    <xf numFmtId="0" fontId="0" fillId="0" borderId="5" xfId="0" applyBorder="1" applyAlignment="1">
      <alignment horizontal="left"/>
    </xf>
    <xf numFmtId="0" fontId="7" fillId="0" borderId="5" xfId="0" applyFont="1" applyBorder="1"/>
    <xf numFmtId="0" fontId="6" fillId="0" borderId="4" xfId="0" applyFont="1" applyBorder="1" applyAlignment="1">
      <alignment horizontal="left"/>
    </xf>
    <xf numFmtId="0" fontId="1" fillId="0" borderId="5" xfId="0" applyFont="1" applyBorder="1" applyAlignment="1">
      <alignment horizontal="left"/>
    </xf>
    <xf numFmtId="0" fontId="1" fillId="0" borderId="5" xfId="0" applyFont="1" applyBorder="1" applyAlignment="1">
      <alignment horizontal="left" vertical="top"/>
    </xf>
    <xf numFmtId="0" fontId="0" fillId="0" borderId="5" xfId="0" applyFont="1" applyBorder="1" applyAlignment="1">
      <alignment wrapText="1"/>
    </xf>
    <xf numFmtId="0" fontId="0" fillId="2" borderId="0" xfId="0" applyFill="1"/>
    <xf numFmtId="0" fontId="8" fillId="2" borderId="0" xfId="0" applyFont="1" applyFill="1" applyAlignment="1">
      <alignment horizontal="left" vertical="center" wrapText="1"/>
    </xf>
    <xf numFmtId="0" fontId="9" fillId="2" borderId="5" xfId="0" applyFont="1" applyFill="1" applyBorder="1" applyAlignment="1">
      <alignment horizontal="left" vertical="center" wrapText="1"/>
    </xf>
    <xf numFmtId="0" fontId="9" fillId="2" borderId="4" xfId="0" applyFont="1" applyFill="1" applyBorder="1" applyAlignment="1">
      <alignment horizontal="left" vertical="center" wrapText="1"/>
    </xf>
    <xf numFmtId="0" fontId="0" fillId="2" borderId="5" xfId="0" applyFont="1" applyFill="1" applyBorder="1"/>
    <xf numFmtId="0" fontId="10" fillId="2" borderId="0" xfId="0" applyFont="1" applyFill="1" applyAlignment="1">
      <alignment horizontal="left" vertical="center" wrapText="1"/>
    </xf>
    <xf numFmtId="0" fontId="11" fillId="2" borderId="5"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1" fillId="2" borderId="5" xfId="0" applyFont="1" applyFill="1" applyBorder="1" applyAlignment="1">
      <alignment vertical="center" wrapText="1"/>
    </xf>
    <xf numFmtId="0" fontId="11" fillId="2" borderId="4" xfId="0" applyFont="1" applyFill="1" applyBorder="1" applyAlignment="1">
      <alignment vertical="center" wrapText="1"/>
    </xf>
    <xf numFmtId="0" fontId="10" fillId="2" borderId="4" xfId="0" applyFont="1" applyFill="1" applyBorder="1" applyAlignment="1">
      <alignment vertical="center" wrapText="1"/>
    </xf>
    <xf numFmtId="0" fontId="10" fillId="2" borderId="5" xfId="0" applyFont="1" applyFill="1" applyBorder="1" applyAlignment="1">
      <alignment vertical="center" wrapText="1"/>
    </xf>
    <xf numFmtId="0" fontId="10" fillId="2" borderId="0" xfId="0" applyFont="1" applyFill="1" applyAlignment="1">
      <alignment vertical="center" wrapText="1"/>
    </xf>
    <xf numFmtId="0" fontId="0" fillId="2" borderId="0" xfId="0" applyFont="1" applyFill="1"/>
    <xf numFmtId="0" fontId="0" fillId="0" borderId="0" xfId="0" applyFont="1"/>
    <xf numFmtId="0" fontId="11" fillId="2" borderId="0" xfId="0" applyFont="1" applyFill="1" applyAlignment="1">
      <alignment horizontal="left" vertical="center" wrapText="1"/>
    </xf>
    <xf numFmtId="0" fontId="0" fillId="0" borderId="0" xfId="0" applyAlignment="1">
      <alignment horizontal="left"/>
    </xf>
    <xf numFmtId="0" fontId="12" fillId="2" borderId="0" xfId="0" applyFont="1" applyFill="1" applyAlignment="1" applyProtection="1">
      <alignment horizontal="center"/>
      <protection locked="0"/>
    </xf>
    <xf numFmtId="0" fontId="12" fillId="2" borderId="0" xfId="0" applyFont="1" applyFill="1" applyAlignment="1" applyProtection="1">
      <alignment horizontal="center" wrapText="1"/>
      <protection locked="0"/>
    </xf>
    <xf numFmtId="0" fontId="12" fillId="4" borderId="5" xfId="0" applyFont="1" applyFill="1" applyBorder="1" applyAlignment="1">
      <alignment horizontal="center"/>
    </xf>
    <xf numFmtId="0" fontId="12" fillId="6" borderId="5" xfId="0" applyFont="1" applyFill="1" applyBorder="1" applyAlignment="1">
      <alignment horizontal="center"/>
    </xf>
    <xf numFmtId="0" fontId="12" fillId="7" borderId="5" xfId="0" applyFont="1" applyFill="1" applyBorder="1" applyAlignment="1">
      <alignment horizontal="center"/>
    </xf>
    <xf numFmtId="0" fontId="12" fillId="5" borderId="9" xfId="0" applyFont="1" applyFill="1" applyBorder="1" applyAlignment="1">
      <alignment horizontal="center"/>
    </xf>
    <xf numFmtId="0" fontId="12" fillId="5" borderId="10" xfId="0" applyFont="1" applyFill="1" applyBorder="1" applyAlignment="1">
      <alignment horizontal="center"/>
    </xf>
    <xf numFmtId="0" fontId="12" fillId="7" borderId="0" xfId="0" applyFont="1" applyFill="1" applyAlignment="1">
      <alignment horizontal="center"/>
    </xf>
    <xf numFmtId="0" fontId="12" fillId="6" borderId="5" xfId="0" applyFont="1" applyFill="1" applyBorder="1" applyAlignment="1">
      <alignment horizontal="center" wrapText="1"/>
    </xf>
    <xf numFmtId="0" fontId="12" fillId="5" borderId="5" xfId="0" applyFont="1" applyFill="1" applyBorder="1" applyAlignment="1" applyProtection="1">
      <alignment horizontal="center"/>
      <protection locked="0"/>
    </xf>
    <xf numFmtId="0" fontId="12" fillId="4" borderId="5" xfId="0" applyFont="1" applyFill="1" applyBorder="1" applyAlignment="1" applyProtection="1">
      <alignment horizontal="center" wrapText="1"/>
      <protection locked="0" hidden="1"/>
    </xf>
    <xf numFmtId="1" fontId="12" fillId="5" borderId="5" xfId="0" applyNumberFormat="1" applyFont="1" applyFill="1" applyBorder="1" applyAlignment="1" applyProtection="1">
      <alignment horizontal="center"/>
      <protection locked="0"/>
    </xf>
    <xf numFmtId="164" fontId="12" fillId="4" borderId="5" xfId="0" applyNumberFormat="1" applyFont="1" applyFill="1" applyBorder="1" applyAlignment="1">
      <alignment horizontal="center"/>
    </xf>
    <xf numFmtId="1" fontId="12" fillId="5" borderId="5" xfId="0" applyNumberFormat="1" applyFont="1" applyFill="1" applyBorder="1" applyAlignment="1" applyProtection="1">
      <alignment horizontal="center" wrapText="1"/>
      <protection locked="0"/>
    </xf>
    <xf numFmtId="0" fontId="12" fillId="4" borderId="5" xfId="0" applyFont="1" applyFill="1" applyBorder="1" applyAlignment="1" applyProtection="1">
      <alignment horizontal="center" wrapText="1"/>
      <protection locked="0"/>
    </xf>
    <xf numFmtId="0" fontId="12" fillId="5" borderId="5" xfId="0" applyFont="1" applyFill="1" applyBorder="1" applyAlignment="1" applyProtection="1">
      <alignment horizontal="center" wrapText="1"/>
      <protection locked="0"/>
    </xf>
    <xf numFmtId="164" fontId="12" fillId="2" borderId="0" xfId="0" applyNumberFormat="1" applyFont="1" applyFill="1" applyAlignment="1" applyProtection="1">
      <alignment horizontal="center"/>
      <protection locked="0"/>
    </xf>
    <xf numFmtId="165" fontId="14" fillId="5" borderId="5" xfId="0" applyNumberFormat="1" applyFont="1" applyFill="1" applyBorder="1" applyAlignment="1" applyProtection="1">
      <alignment horizontal="center"/>
      <protection locked="0"/>
    </xf>
    <xf numFmtId="0" fontId="12" fillId="4" borderId="0" xfId="0" applyFont="1" applyFill="1" applyAlignment="1" applyProtection="1">
      <alignment horizontal="center" wrapText="1"/>
      <protection locked="0"/>
    </xf>
    <xf numFmtId="164" fontId="12" fillId="5" borderId="5" xfId="0" applyNumberFormat="1" applyFont="1" applyFill="1" applyBorder="1" applyAlignment="1" applyProtection="1">
      <alignment horizontal="center"/>
      <protection locked="0"/>
    </xf>
    <xf numFmtId="1" fontId="12" fillId="4" borderId="5" xfId="0" applyNumberFormat="1" applyFont="1" applyFill="1" applyBorder="1" applyAlignment="1">
      <alignment horizontal="center"/>
    </xf>
    <xf numFmtId="1" fontId="12" fillId="2" borderId="0" xfId="0" applyNumberFormat="1" applyFont="1" applyFill="1" applyAlignment="1" applyProtection="1">
      <alignment horizontal="center"/>
      <protection locked="0"/>
    </xf>
    <xf numFmtId="1" fontId="12" fillId="2" borderId="0" xfId="0" applyNumberFormat="1" applyFont="1" applyFill="1" applyAlignment="1" applyProtection="1">
      <alignment horizontal="center" wrapText="1"/>
      <protection locked="0"/>
    </xf>
    <xf numFmtId="0" fontId="12" fillId="2" borderId="5" xfId="0" applyFont="1" applyFill="1" applyBorder="1" applyAlignment="1">
      <alignment horizontal="center"/>
    </xf>
    <xf numFmtId="0" fontId="12" fillId="2" borderId="1" xfId="0" applyFont="1" applyFill="1" applyBorder="1" applyAlignment="1">
      <alignment horizontal="center" wrapText="1"/>
    </xf>
    <xf numFmtId="0" fontId="15" fillId="2" borderId="0" xfId="0" applyFont="1" applyFill="1" applyAlignment="1" applyProtection="1">
      <alignment horizontal="center"/>
      <protection locked="0"/>
    </xf>
    <xf numFmtId="0" fontId="12" fillId="6" borderId="5" xfId="0" applyFont="1" applyFill="1" applyBorder="1" applyAlignment="1" applyProtection="1">
      <alignment horizontal="center" wrapText="1"/>
      <protection locked="0"/>
    </xf>
    <xf numFmtId="0" fontId="12" fillId="4" borderId="5" xfId="0" applyFont="1" applyFill="1" applyBorder="1" applyAlignment="1" applyProtection="1">
      <alignment horizontal="center"/>
      <protection locked="0"/>
    </xf>
    <xf numFmtId="164" fontId="12" fillId="5" borderId="5" xfId="0" applyNumberFormat="1" applyFont="1" applyFill="1" applyBorder="1" applyAlignment="1" applyProtection="1">
      <alignment horizontal="center" wrapText="1"/>
      <protection locked="0"/>
    </xf>
    <xf numFmtId="1" fontId="12" fillId="4" borderId="5" xfId="0" applyNumberFormat="1" applyFont="1" applyFill="1" applyBorder="1" applyAlignment="1" applyProtection="1">
      <alignment horizontal="center"/>
      <protection locked="0"/>
    </xf>
    <xf numFmtId="0" fontId="16" fillId="2" borderId="0" xfId="0" applyFont="1" applyFill="1" applyAlignment="1" applyProtection="1">
      <alignment horizontal="center"/>
      <protection locked="0"/>
    </xf>
    <xf numFmtId="1" fontId="14" fillId="5" borderId="5" xfId="0" applyNumberFormat="1" applyFont="1" applyFill="1" applyBorder="1" applyAlignment="1" applyProtection="1">
      <alignment horizontal="center"/>
      <protection locked="0"/>
    </xf>
    <xf numFmtId="164" fontId="12" fillId="2" borderId="0" xfId="0" applyNumberFormat="1" applyFont="1" applyFill="1" applyAlignment="1" applyProtection="1">
      <alignment horizontal="center" wrapText="1"/>
      <protection locked="0"/>
    </xf>
    <xf numFmtId="0" fontId="17" fillId="2" borderId="0" xfId="0" applyFont="1" applyFill="1" applyAlignment="1" applyProtection="1">
      <alignment horizontal="center"/>
      <protection locked="0"/>
    </xf>
    <xf numFmtId="0" fontId="1" fillId="2" borderId="0" xfId="0" applyFont="1" applyFill="1" applyAlignment="1">
      <alignment horizontal="center"/>
    </xf>
    <xf numFmtId="0" fontId="1" fillId="2" borderId="0" xfId="0" applyFont="1" applyFill="1" applyAlignment="1">
      <alignment horizontal="center" wrapText="1"/>
    </xf>
    <xf numFmtId="0" fontId="12" fillId="2" borderId="0" xfId="0" applyFont="1" applyFill="1" applyAlignment="1">
      <alignment horizontal="center"/>
    </xf>
    <xf numFmtId="0" fontId="1" fillId="7" borderId="0" xfId="0" applyFont="1" applyFill="1" applyAlignment="1">
      <alignment horizontal="center"/>
    </xf>
    <xf numFmtId="0" fontId="1" fillId="6" borderId="5" xfId="0" applyFont="1" applyFill="1" applyBorder="1" applyAlignment="1">
      <alignment horizontal="center" wrapText="1"/>
    </xf>
    <xf numFmtId="0" fontId="1" fillId="4" borderId="5" xfId="0" applyFont="1" applyFill="1" applyBorder="1" applyAlignment="1">
      <alignment horizontal="center"/>
    </xf>
    <xf numFmtId="0" fontId="1" fillId="4" borderId="5" xfId="0" applyFont="1" applyFill="1" applyBorder="1" applyAlignment="1" applyProtection="1">
      <alignment horizontal="center" wrapText="1"/>
      <protection hidden="1"/>
    </xf>
    <xf numFmtId="1" fontId="1" fillId="4" borderId="5" xfId="0" applyNumberFormat="1" applyFont="1" applyFill="1" applyBorder="1" applyAlignment="1">
      <alignment horizontal="center"/>
    </xf>
    <xf numFmtId="0" fontId="1" fillId="4" borderId="5" xfId="0" applyFont="1" applyFill="1" applyBorder="1" applyAlignment="1">
      <alignment horizontal="center" wrapText="1"/>
    </xf>
    <xf numFmtId="164" fontId="1" fillId="2" borderId="0" xfId="0" applyNumberFormat="1" applyFont="1" applyFill="1" applyAlignment="1">
      <alignment horizontal="center"/>
    </xf>
    <xf numFmtId="164" fontId="1" fillId="4" borderId="5" xfId="0" applyNumberFormat="1" applyFont="1" applyFill="1" applyBorder="1" applyAlignment="1">
      <alignment horizontal="center"/>
    </xf>
    <xf numFmtId="0" fontId="1" fillId="4" borderId="0" xfId="0" applyFont="1" applyFill="1" applyAlignment="1">
      <alignment horizontal="center" wrapText="1"/>
    </xf>
    <xf numFmtId="1" fontId="1" fillId="2" borderId="0" xfId="0" applyNumberFormat="1" applyFont="1" applyFill="1" applyAlignment="1">
      <alignment horizontal="center"/>
    </xf>
    <xf numFmtId="1" fontId="1" fillId="2" borderId="0" xfId="0" applyNumberFormat="1" applyFont="1" applyFill="1" applyAlignment="1">
      <alignment horizontal="center" wrapText="1"/>
    </xf>
    <xf numFmtId="0" fontId="18" fillId="2" borderId="0" xfId="0" applyFont="1" applyFill="1" applyAlignment="1">
      <alignment horizontal="center"/>
    </xf>
    <xf numFmtId="0" fontId="19" fillId="2" borderId="0" xfId="0" applyFont="1" applyFill="1" applyAlignment="1">
      <alignment horizontal="center"/>
    </xf>
    <xf numFmtId="1" fontId="1" fillId="4" borderId="5" xfId="0" applyNumberFormat="1" applyFont="1" applyFill="1" applyBorder="1" applyAlignment="1">
      <alignment horizontal="center" wrapText="1"/>
    </xf>
    <xf numFmtId="164" fontId="1" fillId="4" borderId="5" xfId="0" applyNumberFormat="1" applyFont="1" applyFill="1" applyBorder="1" applyAlignment="1">
      <alignment horizontal="center" wrapText="1"/>
    </xf>
    <xf numFmtId="0" fontId="20" fillId="2" borderId="0" xfId="0" applyFont="1" applyFill="1" applyAlignment="1">
      <alignment horizontal="center"/>
    </xf>
    <xf numFmtId="164" fontId="1" fillId="2" borderId="0" xfId="0" applyNumberFormat="1" applyFont="1" applyFill="1" applyAlignment="1">
      <alignment horizontal="center" wrapText="1"/>
    </xf>
    <xf numFmtId="0" fontId="0" fillId="0" borderId="0" xfId="0" applyProtection="1">
      <protection locked="0"/>
    </xf>
    <xf numFmtId="0" fontId="21" fillId="5" borderId="5" xfId="0" applyFont="1" applyFill="1" applyBorder="1" applyAlignment="1">
      <alignment horizontal="center"/>
    </xf>
    <xf numFmtId="0" fontId="1" fillId="0" borderId="5" xfId="0" applyFont="1" applyBorder="1" applyProtection="1">
      <protection locked="0"/>
    </xf>
    <xf numFmtId="0" fontId="21" fillId="2" borderId="0" xfId="0" applyFont="1" applyFill="1" applyAlignment="1">
      <alignment horizontal="center"/>
    </xf>
    <xf numFmtId="0" fontId="21" fillId="2" borderId="0" xfId="0" applyFont="1" applyFill="1" applyAlignment="1">
      <alignment horizontal="center" wrapText="1"/>
    </xf>
    <xf numFmtId="0" fontId="1" fillId="8" borderId="5" xfId="0" applyFont="1" applyFill="1" applyBorder="1" applyAlignment="1">
      <alignment horizontal="center" vertical="top"/>
    </xf>
    <xf numFmtId="0" fontId="0" fillId="4" borderId="5" xfId="0" applyFont="1" applyFill="1" applyBorder="1"/>
    <xf numFmtId="166" fontId="20" fillId="5" borderId="5" xfId="0" applyNumberFormat="1" applyFont="1" applyFill="1" applyBorder="1" applyAlignment="1" applyProtection="1">
      <alignment horizontal="center"/>
      <protection locked="0"/>
    </xf>
    <xf numFmtId="0" fontId="1" fillId="5" borderId="5" xfId="0" applyFont="1" applyFill="1" applyBorder="1" applyProtection="1">
      <protection locked="0"/>
    </xf>
    <xf numFmtId="0" fontId="20" fillId="5" borderId="5" xfId="0" applyFont="1" applyFill="1" applyBorder="1" applyAlignment="1" applyProtection="1">
      <alignment horizontal="center"/>
      <protection locked="0"/>
    </xf>
    <xf numFmtId="0" fontId="20" fillId="5" borderId="5" xfId="0" applyFont="1" applyFill="1" applyBorder="1" applyProtection="1">
      <protection locked="0"/>
    </xf>
    <xf numFmtId="0" fontId="0" fillId="5" borderId="5" xfId="0" applyFill="1" applyBorder="1" applyProtection="1">
      <protection locked="0"/>
    </xf>
    <xf numFmtId="0" fontId="1" fillId="8" borderId="0" xfId="0" applyFont="1" applyFill="1"/>
    <xf numFmtId="0" fontId="9" fillId="8" borderId="5" xfId="0" applyFont="1" applyFill="1" applyBorder="1" applyAlignment="1">
      <alignment horizontal="left" vertical="center" wrapText="1"/>
    </xf>
    <xf numFmtId="0" fontId="1" fillId="8" borderId="5" xfId="0" applyFont="1" applyFill="1" applyBorder="1"/>
    <xf numFmtId="0" fontId="11" fillId="4" borderId="5" xfId="0" applyFont="1" applyFill="1" applyBorder="1" applyAlignment="1">
      <alignment horizontal="left" vertical="center" wrapText="1"/>
    </xf>
    <xf numFmtId="0" fontId="11" fillId="4" borderId="5" xfId="0" applyFont="1" applyFill="1" applyBorder="1" applyAlignment="1">
      <alignment vertical="center" wrapText="1"/>
    </xf>
    <xf numFmtId="0" fontId="11" fillId="2" borderId="11" xfId="0" applyFont="1" applyFill="1" applyBorder="1" applyAlignment="1" applyProtection="1">
      <alignment horizontal="left" vertical="center" wrapText="1"/>
      <protection locked="0"/>
    </xf>
    <xf numFmtId="0" fontId="0" fillId="0" borderId="11" xfId="0" applyBorder="1" applyProtection="1">
      <protection locked="0"/>
    </xf>
    <xf numFmtId="0" fontId="11" fillId="2" borderId="12" xfId="0" applyFont="1" applyFill="1" applyBorder="1" applyAlignment="1" applyProtection="1">
      <alignment horizontal="left" vertical="center" wrapText="1"/>
      <protection locked="0"/>
    </xf>
    <xf numFmtId="0" fontId="0" fillId="0" borderId="12" xfId="0" applyBorder="1" applyProtection="1">
      <protection locked="0"/>
    </xf>
    <xf numFmtId="0" fontId="9" fillId="8" borderId="12" xfId="0" applyFont="1" applyFill="1" applyBorder="1" applyAlignment="1" applyProtection="1">
      <alignment horizontal="left" vertical="center" wrapText="1"/>
      <protection locked="0"/>
    </xf>
    <xf numFmtId="0" fontId="11" fillId="2" borderId="13" xfId="0" applyFont="1" applyFill="1" applyBorder="1" applyAlignment="1" applyProtection="1">
      <alignment horizontal="left" vertical="center" wrapText="1"/>
      <protection locked="0"/>
    </xf>
    <xf numFmtId="0" fontId="0" fillId="0" borderId="13" xfId="0" applyBorder="1" applyProtection="1">
      <protection locked="0"/>
    </xf>
    <xf numFmtId="0" fontId="9" fillId="8" borderId="5" xfId="0" applyFont="1" applyFill="1" applyBorder="1" applyAlignment="1" applyProtection="1">
      <alignment horizontal="center" wrapText="1"/>
      <protection locked="0"/>
    </xf>
    <xf numFmtId="0" fontId="1" fillId="8" borderId="5" xfId="0" applyFont="1" applyFill="1" applyBorder="1" applyAlignment="1" applyProtection="1">
      <alignment horizontal="center"/>
      <protection locked="0"/>
    </xf>
    <xf numFmtId="0" fontId="11" fillId="9" borderId="2" xfId="0" applyFont="1" applyFill="1" applyBorder="1" applyAlignment="1">
      <alignment horizontal="left" vertical="center" wrapText="1"/>
    </xf>
    <xf numFmtId="0" fontId="0" fillId="9" borderId="5" xfId="0" applyFill="1" applyBorder="1"/>
    <xf numFmtId="0" fontId="11" fillId="9" borderId="5" xfId="0" applyFont="1" applyFill="1" applyBorder="1" applyAlignment="1">
      <alignment horizontal="left" vertical="center" wrapText="1"/>
    </xf>
    <xf numFmtId="0" fontId="0" fillId="5" borderId="5" xfId="0" applyFill="1" applyBorder="1" applyAlignment="1" applyProtection="1">
      <alignment horizontal="center" vertical="center"/>
      <protection locked="0"/>
    </xf>
    <xf numFmtId="0" fontId="0" fillId="5" borderId="5" xfId="0" applyFill="1" applyBorder="1" applyAlignment="1" applyProtection="1">
      <alignment horizontal="center"/>
      <protection locked="0"/>
    </xf>
    <xf numFmtId="0" fontId="11" fillId="9" borderId="5" xfId="0" applyFont="1" applyFill="1" applyBorder="1" applyAlignment="1">
      <alignment horizontal="left" vertical="center" wrapText="1"/>
    </xf>
    <xf numFmtId="0" fontId="0" fillId="9" borderId="5" xfId="0" applyFill="1" applyBorder="1" applyAlignment="1">
      <alignment horizontal="center"/>
    </xf>
    <xf numFmtId="0" fontId="13" fillId="5" borderId="5" xfId="0" applyFont="1" applyFill="1" applyBorder="1" applyAlignment="1" applyProtection="1">
      <alignment horizontal="center" wrapText="1"/>
      <protection locked="0"/>
    </xf>
    <xf numFmtId="0" fontId="12" fillId="4" borderId="5" xfId="0" applyFont="1" applyFill="1" applyBorder="1" applyAlignment="1">
      <alignment horizontal="center" vertical="center"/>
    </xf>
    <xf numFmtId="0" fontId="1" fillId="0" borderId="3" xfId="0" applyFont="1" applyBorder="1" applyAlignment="1">
      <alignment horizontal="center"/>
    </xf>
    <xf numFmtId="0" fontId="2" fillId="2" borderId="3" xfId="0" applyFont="1" applyFill="1" applyBorder="1" applyAlignment="1">
      <alignment horizontal="center" wrapText="1"/>
    </xf>
    <xf numFmtId="0" fontId="3" fillId="2" borderId="3" xfId="0" applyFont="1" applyFill="1" applyBorder="1" applyAlignment="1">
      <alignment horizontal="left" vertical="center" wrapText="1"/>
    </xf>
    <xf numFmtId="0" fontId="0" fillId="0" borderId="8" xfId="0" applyFont="1" applyBorder="1" applyAlignment="1">
      <alignment horizontal="center"/>
    </xf>
    <xf numFmtId="0" fontId="11" fillId="2" borderId="0" xfId="0" applyFont="1" applyFill="1" applyBorder="1" applyAlignment="1">
      <alignment horizontal="lef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4BD97"/>
      <rgbColor rgb="00808080"/>
      <rgbColor rgb="009999FF"/>
      <rgbColor rgb="00993366"/>
      <rgbColor rgb="00FDEADA"/>
      <rgbColor rgb="00F6F8FA"/>
      <rgbColor rgb="00660066"/>
      <rgbColor rgb="00FF8080"/>
      <rgbColor rgb="000066CC"/>
      <rgbColor rgb="00C3D69B"/>
      <rgbColor rgb="00000080"/>
      <rgbColor rgb="00FF00FF"/>
      <rgbColor rgb="00FFFF00"/>
      <rgbColor rgb="0000FFFF"/>
      <rgbColor rgb="00800080"/>
      <rgbColor rgb="00800000"/>
      <rgbColor rgb="00008080"/>
      <rgbColor rgb="000000FF"/>
      <rgbColor rgb="0000B0F0"/>
      <rgbColor rgb="00CCFFFF"/>
      <rgbColor rgb="00D7E4BD"/>
      <rgbColor rgb="00FFFF99"/>
      <rgbColor rgb="0099CCFF"/>
      <rgbColor rgb="00FF99CC"/>
      <rgbColor rgb="00CC99FF"/>
      <rgbColor rgb="00E6B9B8"/>
      <rgbColor rgb="003366FF"/>
      <rgbColor rgb="0033CCCC"/>
      <rgbColor rgb="0099CC00"/>
      <rgbColor rgb="00FFCC00"/>
      <rgbColor rgb="00FF9900"/>
      <rgbColor rgb="00FF6600"/>
      <rgbColor rgb="00376092"/>
      <rgbColor rgb="00969696"/>
      <rgbColor rgb="00003366"/>
      <rgbColor rgb="00339966"/>
      <rgbColor rgb="0024292E"/>
      <rgbColor rgb="002E2E2E"/>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8" Type="http://schemas.openxmlformats.org/officeDocument/2006/relationships/image" Target="../media/image8.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184320</xdr:colOff>
      <xdr:row>18</xdr:row>
      <xdr:rowOff>44280</xdr:rowOff>
    </xdr:from>
    <xdr:to>
      <xdr:col>2</xdr:col>
      <xdr:colOff>2616840</xdr:colOff>
      <xdr:row>18</xdr:row>
      <xdr:rowOff>421560</xdr:rowOff>
    </xdr:to>
    <xdr:pic>
      <xdr:nvPicPr>
        <xdr:cNvPr id="2" name="Picture 2"/>
        <xdr:cNvPicPr/>
      </xdr:nvPicPr>
      <xdr:blipFill>
        <a:blip xmlns:r="http://schemas.openxmlformats.org/officeDocument/2006/relationships" r:embed="rId1"/>
        <a:stretch>
          <a:fillRect/>
        </a:stretch>
      </xdr:blipFill>
      <xdr:spPr>
        <a:xfrm>
          <a:off x="2263140" y="3758565"/>
          <a:ext cx="2432685" cy="377190"/>
        </a:xfrm>
        <a:prstGeom prst="rect">
          <a:avLst/>
        </a:prstGeom>
        <a:ln w="0">
          <a:noFill/>
        </a:ln>
      </xdr:spPr>
    </xdr:pic>
    <xdr:clientData/>
  </xdr:twoCellAnchor>
  <xdr:twoCellAnchor editAs="oneCell">
    <xdr:from>
      <xdr:col>2</xdr:col>
      <xdr:colOff>228600</xdr:colOff>
      <xdr:row>19</xdr:row>
      <xdr:rowOff>176760</xdr:rowOff>
    </xdr:from>
    <xdr:to>
      <xdr:col>2</xdr:col>
      <xdr:colOff>2591280</xdr:colOff>
      <xdr:row>19</xdr:row>
      <xdr:rowOff>584640</xdr:rowOff>
    </xdr:to>
    <xdr:pic>
      <xdr:nvPicPr>
        <xdr:cNvPr id="3" name="Picture 3"/>
        <xdr:cNvPicPr/>
      </xdr:nvPicPr>
      <xdr:blipFill>
        <a:blip xmlns:r="http://schemas.openxmlformats.org/officeDocument/2006/relationships" r:embed="rId2"/>
        <a:stretch>
          <a:fillRect/>
        </a:stretch>
      </xdr:blipFill>
      <xdr:spPr>
        <a:xfrm>
          <a:off x="2307590" y="4319905"/>
          <a:ext cx="2362200" cy="407670"/>
        </a:xfrm>
        <a:prstGeom prst="rect">
          <a:avLst/>
        </a:prstGeom>
        <a:ln w="0">
          <a:noFill/>
        </a:ln>
      </xdr:spPr>
    </xdr:pic>
    <xdr:clientData/>
  </xdr:twoCellAnchor>
  <xdr:twoCellAnchor editAs="oneCell">
    <xdr:from>
      <xdr:col>2</xdr:col>
      <xdr:colOff>444600</xdr:colOff>
      <xdr:row>20</xdr:row>
      <xdr:rowOff>25560</xdr:rowOff>
    </xdr:from>
    <xdr:to>
      <xdr:col>2</xdr:col>
      <xdr:colOff>1807920</xdr:colOff>
      <xdr:row>20</xdr:row>
      <xdr:rowOff>468720</xdr:rowOff>
    </xdr:to>
    <xdr:pic>
      <xdr:nvPicPr>
        <xdr:cNvPr id="4" name="Picture 4"/>
        <xdr:cNvPicPr/>
      </xdr:nvPicPr>
      <xdr:blipFill>
        <a:blip xmlns:r="http://schemas.openxmlformats.org/officeDocument/2006/relationships" r:embed="rId3"/>
        <a:stretch>
          <a:fillRect/>
        </a:stretch>
      </xdr:blipFill>
      <xdr:spPr>
        <a:xfrm>
          <a:off x="2523490" y="4892675"/>
          <a:ext cx="1363345" cy="443230"/>
        </a:xfrm>
        <a:prstGeom prst="rect">
          <a:avLst/>
        </a:prstGeom>
        <a:ln w="0">
          <a:noFill/>
        </a:ln>
      </xdr:spPr>
    </xdr:pic>
    <xdr:clientData/>
  </xdr:twoCellAnchor>
  <xdr:twoCellAnchor editAs="oneCell">
    <xdr:from>
      <xdr:col>2</xdr:col>
      <xdr:colOff>380880</xdr:colOff>
      <xdr:row>21</xdr:row>
      <xdr:rowOff>142200</xdr:rowOff>
    </xdr:from>
    <xdr:to>
      <xdr:col>2</xdr:col>
      <xdr:colOff>1761840</xdr:colOff>
      <xdr:row>21</xdr:row>
      <xdr:rowOff>501840</xdr:rowOff>
    </xdr:to>
    <xdr:pic>
      <xdr:nvPicPr>
        <xdr:cNvPr id="5" name="Picture 5"/>
        <xdr:cNvPicPr/>
      </xdr:nvPicPr>
      <xdr:blipFill>
        <a:blip xmlns:r="http://schemas.openxmlformats.org/officeDocument/2006/relationships" r:embed="rId4"/>
        <a:stretch>
          <a:fillRect/>
        </a:stretch>
      </xdr:blipFill>
      <xdr:spPr>
        <a:xfrm>
          <a:off x="2459355" y="5532755"/>
          <a:ext cx="1381125" cy="360045"/>
        </a:xfrm>
        <a:prstGeom prst="rect">
          <a:avLst/>
        </a:prstGeom>
        <a:ln w="0">
          <a:noFill/>
        </a:ln>
      </xdr:spPr>
    </xdr:pic>
    <xdr:clientData/>
  </xdr:twoCellAnchor>
  <xdr:twoCellAnchor editAs="oneCell">
    <xdr:from>
      <xdr:col>2</xdr:col>
      <xdr:colOff>291960</xdr:colOff>
      <xdr:row>22</xdr:row>
      <xdr:rowOff>85320</xdr:rowOff>
    </xdr:from>
    <xdr:to>
      <xdr:col>2</xdr:col>
      <xdr:colOff>2194560</xdr:colOff>
      <xdr:row>22</xdr:row>
      <xdr:rowOff>497520</xdr:rowOff>
    </xdr:to>
    <xdr:pic>
      <xdr:nvPicPr>
        <xdr:cNvPr id="6" name="Picture 6"/>
        <xdr:cNvPicPr/>
      </xdr:nvPicPr>
      <xdr:blipFill>
        <a:blip xmlns:r="http://schemas.openxmlformats.org/officeDocument/2006/relationships" r:embed="rId5"/>
        <a:stretch>
          <a:fillRect/>
        </a:stretch>
      </xdr:blipFill>
      <xdr:spPr>
        <a:xfrm>
          <a:off x="2370455" y="6076315"/>
          <a:ext cx="1903095" cy="412115"/>
        </a:xfrm>
        <a:prstGeom prst="rect">
          <a:avLst/>
        </a:prstGeom>
        <a:ln w="0">
          <a:noFill/>
        </a:ln>
      </xdr:spPr>
    </xdr:pic>
    <xdr:clientData/>
  </xdr:twoCellAnchor>
  <xdr:twoCellAnchor editAs="oneCell">
    <xdr:from>
      <xdr:col>2</xdr:col>
      <xdr:colOff>298440</xdr:colOff>
      <xdr:row>23</xdr:row>
      <xdr:rowOff>47520</xdr:rowOff>
    </xdr:from>
    <xdr:to>
      <xdr:col>2</xdr:col>
      <xdr:colOff>2201040</xdr:colOff>
      <xdr:row>23</xdr:row>
      <xdr:rowOff>577800</xdr:rowOff>
    </xdr:to>
    <xdr:pic>
      <xdr:nvPicPr>
        <xdr:cNvPr id="7" name="Picture 7"/>
        <xdr:cNvPicPr/>
      </xdr:nvPicPr>
      <xdr:blipFill>
        <a:blip xmlns:r="http://schemas.openxmlformats.org/officeDocument/2006/relationships" r:embed="rId6"/>
        <a:stretch>
          <a:fillRect/>
        </a:stretch>
      </xdr:blipFill>
      <xdr:spPr>
        <a:xfrm>
          <a:off x="2376805" y="6552565"/>
          <a:ext cx="1903095" cy="530225"/>
        </a:xfrm>
        <a:prstGeom prst="rect">
          <a:avLst/>
        </a:prstGeom>
        <a:ln w="0">
          <a:noFill/>
        </a:ln>
      </xdr:spPr>
    </xdr:pic>
    <xdr:clientData/>
  </xdr:twoCellAnchor>
  <xdr:twoCellAnchor editAs="oneCell">
    <xdr:from>
      <xdr:col>2</xdr:col>
      <xdr:colOff>355680</xdr:colOff>
      <xdr:row>24</xdr:row>
      <xdr:rowOff>183600</xdr:rowOff>
    </xdr:from>
    <xdr:to>
      <xdr:col>2</xdr:col>
      <xdr:colOff>2258280</xdr:colOff>
      <xdr:row>24</xdr:row>
      <xdr:rowOff>611280</xdr:rowOff>
    </xdr:to>
    <xdr:pic>
      <xdr:nvPicPr>
        <xdr:cNvPr id="8" name="Picture 8"/>
        <xdr:cNvPicPr/>
      </xdr:nvPicPr>
      <xdr:blipFill>
        <a:blip xmlns:r="http://schemas.openxmlformats.org/officeDocument/2006/relationships" r:embed="rId7"/>
        <a:stretch>
          <a:fillRect/>
        </a:stretch>
      </xdr:blipFill>
      <xdr:spPr>
        <a:xfrm>
          <a:off x="2434590" y="7308215"/>
          <a:ext cx="1902460" cy="427355"/>
        </a:xfrm>
        <a:prstGeom prst="rect">
          <a:avLst/>
        </a:prstGeom>
        <a:ln w="0">
          <a:noFill/>
        </a:ln>
      </xdr:spPr>
    </xdr:pic>
    <xdr:clientData/>
  </xdr:twoCellAnchor>
  <xdr:twoCellAnchor editAs="oneCell">
    <xdr:from>
      <xdr:col>2</xdr:col>
      <xdr:colOff>1110600</xdr:colOff>
      <xdr:row>25</xdr:row>
      <xdr:rowOff>107640</xdr:rowOff>
    </xdr:from>
    <xdr:to>
      <xdr:col>2</xdr:col>
      <xdr:colOff>1511640</xdr:colOff>
      <xdr:row>25</xdr:row>
      <xdr:rowOff>659160</xdr:rowOff>
    </xdr:to>
    <xdr:pic>
      <xdr:nvPicPr>
        <xdr:cNvPr id="9" name="Picture 9"/>
        <xdr:cNvPicPr/>
      </xdr:nvPicPr>
      <xdr:blipFill>
        <a:blip xmlns:r="http://schemas.openxmlformats.org/officeDocument/2006/relationships" r:embed="rId8"/>
        <a:stretch>
          <a:fillRect/>
        </a:stretch>
      </xdr:blipFill>
      <xdr:spPr>
        <a:xfrm rot="10800000" flipH="1">
          <a:off x="3188970" y="7936865"/>
          <a:ext cx="401320" cy="551815"/>
        </a:xfrm>
        <a:prstGeom prst="rect">
          <a:avLst/>
        </a:prstGeom>
        <a:ln w="0">
          <a:noFill/>
        </a:ln>
      </xdr:spPr>
    </xdr:pic>
    <xdr:clientData/>
  </xdr:twoCellAnchor>
  <xdr:twoCellAnchor editAs="oneCell">
    <xdr:from>
      <xdr:col>2</xdr:col>
      <xdr:colOff>428400</xdr:colOff>
      <xdr:row>27</xdr:row>
      <xdr:rowOff>50760</xdr:rowOff>
    </xdr:from>
    <xdr:to>
      <xdr:col>2</xdr:col>
      <xdr:colOff>2331000</xdr:colOff>
      <xdr:row>27</xdr:row>
      <xdr:rowOff>476640</xdr:rowOff>
    </xdr:to>
    <xdr:pic>
      <xdr:nvPicPr>
        <xdr:cNvPr id="10" name="Picture 10"/>
        <xdr:cNvPicPr/>
      </xdr:nvPicPr>
      <xdr:blipFill>
        <a:blip xmlns:r="http://schemas.openxmlformats.org/officeDocument/2006/relationships" r:embed="rId9"/>
        <a:stretch>
          <a:fillRect/>
        </a:stretch>
      </xdr:blipFill>
      <xdr:spPr>
        <a:xfrm>
          <a:off x="2506980" y="9213215"/>
          <a:ext cx="1902460" cy="426085"/>
        </a:xfrm>
        <a:prstGeom prst="rect">
          <a:avLst/>
        </a:prstGeom>
        <a:ln w="0">
          <a:noFill/>
        </a:ln>
      </xdr:spPr>
    </xdr:pic>
    <xdr:clientData/>
  </xdr:twoCellAnchor>
  <xdr:twoCellAnchor editAs="oneCell">
    <xdr:from>
      <xdr:col>2</xdr:col>
      <xdr:colOff>444600</xdr:colOff>
      <xdr:row>28</xdr:row>
      <xdr:rowOff>136800</xdr:rowOff>
    </xdr:from>
    <xdr:to>
      <xdr:col>2</xdr:col>
      <xdr:colOff>2347200</xdr:colOff>
      <xdr:row>28</xdr:row>
      <xdr:rowOff>469080</xdr:rowOff>
    </xdr:to>
    <xdr:pic>
      <xdr:nvPicPr>
        <xdr:cNvPr id="11" name="Picture 11"/>
        <xdr:cNvPicPr/>
      </xdr:nvPicPr>
      <xdr:blipFill>
        <a:blip xmlns:r="http://schemas.openxmlformats.org/officeDocument/2006/relationships" r:embed="rId10"/>
        <a:stretch>
          <a:fillRect/>
        </a:stretch>
      </xdr:blipFill>
      <xdr:spPr>
        <a:xfrm>
          <a:off x="2523490" y="9842500"/>
          <a:ext cx="1902460" cy="332105"/>
        </a:xfrm>
        <a:prstGeom prst="rect">
          <a:avLst/>
        </a:prstGeom>
        <a:ln w="0">
          <a:noFill/>
        </a:ln>
      </xdr:spPr>
    </xdr:pic>
    <xdr:clientData/>
  </xdr:twoCellAnchor>
  <xdr:twoCellAnchor editAs="oneCell">
    <xdr:from>
      <xdr:col>2</xdr:col>
      <xdr:colOff>967320</xdr:colOff>
      <xdr:row>26</xdr:row>
      <xdr:rowOff>182160</xdr:rowOff>
    </xdr:from>
    <xdr:to>
      <xdr:col>2</xdr:col>
      <xdr:colOff>1602720</xdr:colOff>
      <xdr:row>26</xdr:row>
      <xdr:rowOff>531360</xdr:rowOff>
    </xdr:to>
    <xdr:pic>
      <xdr:nvPicPr>
        <xdr:cNvPr id="12" name="Picture 12"/>
        <xdr:cNvPicPr/>
      </xdr:nvPicPr>
      <xdr:blipFill>
        <a:blip xmlns:r="http://schemas.openxmlformats.org/officeDocument/2006/relationships" r:embed="rId11"/>
        <a:stretch>
          <a:fillRect/>
        </a:stretch>
      </xdr:blipFill>
      <xdr:spPr>
        <a:xfrm flipH="1">
          <a:off x="3046095" y="8706485"/>
          <a:ext cx="635000" cy="349250"/>
        </a:xfrm>
        <a:prstGeom prst="rect">
          <a:avLst/>
        </a:prstGeom>
        <a:ln w="0">
          <a:noFill/>
        </a:ln>
      </xdr:spPr>
    </xdr:pic>
    <xdr:clientData/>
  </xdr:twoCellAnchor>
  <xdr:twoCellAnchor editAs="oneCell">
    <xdr:from>
      <xdr:col>2</xdr:col>
      <xdr:colOff>1024560</xdr:colOff>
      <xdr:row>38</xdr:row>
      <xdr:rowOff>235080</xdr:rowOff>
    </xdr:from>
    <xdr:to>
      <xdr:col>2</xdr:col>
      <xdr:colOff>1665360</xdr:colOff>
      <xdr:row>38</xdr:row>
      <xdr:rowOff>872280</xdr:rowOff>
    </xdr:to>
    <xdr:pic>
      <xdr:nvPicPr>
        <xdr:cNvPr id="13" name="Picture 13"/>
        <xdr:cNvPicPr/>
      </xdr:nvPicPr>
      <xdr:blipFill>
        <a:blip xmlns:r="http://schemas.openxmlformats.org/officeDocument/2006/relationships" r:embed="rId12"/>
        <a:stretch>
          <a:fillRect/>
        </a:stretch>
      </xdr:blipFill>
      <xdr:spPr>
        <a:xfrm>
          <a:off x="3103245" y="12484100"/>
          <a:ext cx="640715" cy="636905"/>
        </a:xfrm>
        <a:prstGeom prst="rect">
          <a:avLst/>
        </a:prstGeom>
        <a:ln w="0">
          <a:noFill/>
        </a:ln>
      </xdr:spPr>
    </xdr:pic>
    <xdr:clientData/>
  </xdr:twoCellAnchor>
  <xdr:twoCellAnchor editAs="oneCell">
    <xdr:from>
      <xdr:col>2</xdr:col>
      <xdr:colOff>809280</xdr:colOff>
      <xdr:row>39</xdr:row>
      <xdr:rowOff>88920</xdr:rowOff>
    </xdr:from>
    <xdr:to>
      <xdr:col>2</xdr:col>
      <xdr:colOff>1982160</xdr:colOff>
      <xdr:row>39</xdr:row>
      <xdr:rowOff>807120</xdr:rowOff>
    </xdr:to>
    <xdr:pic>
      <xdr:nvPicPr>
        <xdr:cNvPr id="14" name="Picture 14"/>
        <xdr:cNvPicPr/>
      </xdr:nvPicPr>
      <xdr:blipFill>
        <a:blip xmlns:r="http://schemas.openxmlformats.org/officeDocument/2006/relationships" r:embed="rId13"/>
        <a:stretch>
          <a:fillRect/>
        </a:stretch>
      </xdr:blipFill>
      <xdr:spPr>
        <a:xfrm>
          <a:off x="2887980" y="13385800"/>
          <a:ext cx="1172845" cy="718185"/>
        </a:xfrm>
        <a:prstGeom prst="rect">
          <a:avLst/>
        </a:prstGeom>
        <a:ln w="0">
          <a:noFill/>
        </a:ln>
      </xdr:spPr>
    </xdr:pic>
    <xdr:clientData/>
  </xdr:twoCellAnchor>
  <xdr:twoCellAnchor editAs="oneCell">
    <xdr:from>
      <xdr:col>2</xdr:col>
      <xdr:colOff>900720</xdr:colOff>
      <xdr:row>41</xdr:row>
      <xdr:rowOff>41040</xdr:rowOff>
    </xdr:from>
    <xdr:to>
      <xdr:col>2</xdr:col>
      <xdr:colOff>1715400</xdr:colOff>
      <xdr:row>41</xdr:row>
      <xdr:rowOff>855720</xdr:rowOff>
    </xdr:to>
    <xdr:pic>
      <xdr:nvPicPr>
        <xdr:cNvPr id="15" name="Picture 15"/>
        <xdr:cNvPicPr/>
      </xdr:nvPicPr>
      <xdr:blipFill>
        <a:blip xmlns:r="http://schemas.openxmlformats.org/officeDocument/2006/relationships" r:embed="rId14"/>
        <a:stretch>
          <a:fillRect/>
        </a:stretch>
      </xdr:blipFill>
      <xdr:spPr>
        <a:xfrm>
          <a:off x="2979420" y="15137765"/>
          <a:ext cx="814705" cy="814705"/>
        </a:xfrm>
        <a:prstGeom prst="rect">
          <a:avLst/>
        </a:prstGeom>
        <a:ln w="0">
          <a:noFill/>
        </a:ln>
      </xdr:spPr>
    </xdr:pic>
    <xdr:clientData/>
  </xdr:twoCellAnchor>
  <xdr:twoCellAnchor editAs="oneCell">
    <xdr:from>
      <xdr:col>2</xdr:col>
      <xdr:colOff>847800</xdr:colOff>
      <xdr:row>41</xdr:row>
      <xdr:rowOff>857160</xdr:rowOff>
    </xdr:from>
    <xdr:to>
      <xdr:col>2</xdr:col>
      <xdr:colOff>1628640</xdr:colOff>
      <xdr:row>44</xdr:row>
      <xdr:rowOff>31320</xdr:rowOff>
    </xdr:to>
    <xdr:pic>
      <xdr:nvPicPr>
        <xdr:cNvPr id="16" name="Picture 16"/>
        <xdr:cNvPicPr/>
      </xdr:nvPicPr>
      <xdr:blipFill>
        <a:blip xmlns:r="http://schemas.openxmlformats.org/officeDocument/2006/relationships" r:embed="rId15"/>
        <a:stretch>
          <a:fillRect/>
        </a:stretch>
      </xdr:blipFill>
      <xdr:spPr>
        <a:xfrm>
          <a:off x="2926715" y="15953740"/>
          <a:ext cx="780415" cy="774700"/>
        </a:xfrm>
        <a:prstGeom prst="rect">
          <a:avLst/>
        </a:prstGeom>
        <a:ln w="0">
          <a:noFill/>
        </a:ln>
      </xdr:spPr>
    </xdr:pic>
    <xdr:clientData/>
  </xdr:twoCellAnchor>
  <xdr:twoCellAnchor editAs="oneCell">
    <xdr:from>
      <xdr:col>2</xdr:col>
      <xdr:colOff>920880</xdr:colOff>
      <xdr:row>44</xdr:row>
      <xdr:rowOff>62640</xdr:rowOff>
    </xdr:from>
    <xdr:to>
      <xdr:col>2</xdr:col>
      <xdr:colOff>1650960</xdr:colOff>
      <xdr:row>45</xdr:row>
      <xdr:rowOff>5040</xdr:rowOff>
    </xdr:to>
    <xdr:pic>
      <xdr:nvPicPr>
        <xdr:cNvPr id="17" name="Picture 17"/>
        <xdr:cNvPicPr/>
      </xdr:nvPicPr>
      <xdr:blipFill>
        <a:blip xmlns:r="http://schemas.openxmlformats.org/officeDocument/2006/relationships" r:embed="rId16"/>
        <a:stretch>
          <a:fillRect/>
        </a:stretch>
      </xdr:blipFill>
      <xdr:spPr>
        <a:xfrm>
          <a:off x="2999740" y="16759555"/>
          <a:ext cx="729615" cy="742315"/>
        </a:xfrm>
        <a:prstGeom prst="rect">
          <a:avLst/>
        </a:prstGeom>
        <a:ln w="0">
          <a:noFill/>
        </a:ln>
      </xdr:spPr>
    </xdr:pic>
    <xdr:clientData/>
  </xdr:twoCellAnchor>
  <xdr:twoCellAnchor editAs="oneCell">
    <xdr:from>
      <xdr:col>2</xdr:col>
      <xdr:colOff>929520</xdr:colOff>
      <xdr:row>47</xdr:row>
      <xdr:rowOff>178200</xdr:rowOff>
    </xdr:from>
    <xdr:to>
      <xdr:col>2</xdr:col>
      <xdr:colOff>1666800</xdr:colOff>
      <xdr:row>48</xdr:row>
      <xdr:rowOff>510480</xdr:rowOff>
    </xdr:to>
    <xdr:pic>
      <xdr:nvPicPr>
        <xdr:cNvPr id="18" name="Picture 18"/>
        <xdr:cNvPicPr/>
      </xdr:nvPicPr>
      <xdr:blipFill>
        <a:blip xmlns:r="http://schemas.openxmlformats.org/officeDocument/2006/relationships" r:embed="rId17"/>
        <a:stretch>
          <a:fillRect/>
        </a:stretch>
      </xdr:blipFill>
      <xdr:spPr>
        <a:xfrm>
          <a:off x="3007995" y="19218275"/>
          <a:ext cx="737235" cy="513080"/>
        </a:xfrm>
        <a:prstGeom prst="rect">
          <a:avLst/>
        </a:prstGeom>
        <a:ln w="0">
          <a:noFill/>
        </a:ln>
      </xdr:spPr>
    </xdr:pic>
    <xdr:clientData/>
  </xdr:twoCellAnchor>
  <xdr:twoCellAnchor editAs="oneCell">
    <xdr:from>
      <xdr:col>2</xdr:col>
      <xdr:colOff>789840</xdr:colOff>
      <xdr:row>70</xdr:row>
      <xdr:rowOff>127080</xdr:rowOff>
    </xdr:from>
    <xdr:to>
      <xdr:col>2</xdr:col>
      <xdr:colOff>2028600</xdr:colOff>
      <xdr:row>72</xdr:row>
      <xdr:rowOff>19440</xdr:rowOff>
    </xdr:to>
    <xdr:pic>
      <xdr:nvPicPr>
        <xdr:cNvPr id="19" name="Picture 19"/>
        <xdr:cNvPicPr/>
      </xdr:nvPicPr>
      <xdr:blipFill>
        <a:blip xmlns:r="http://schemas.openxmlformats.org/officeDocument/2006/relationships" r:embed="rId18"/>
        <a:stretch>
          <a:fillRect/>
        </a:stretch>
      </xdr:blipFill>
      <xdr:spPr>
        <a:xfrm>
          <a:off x="2868295" y="29559250"/>
          <a:ext cx="1238885" cy="635000"/>
        </a:xfrm>
        <a:prstGeom prst="rect">
          <a:avLst/>
        </a:prstGeom>
        <a:ln w="0">
          <a:noFill/>
        </a:ln>
      </xdr:spPr>
    </xdr:pic>
    <xdr:clientData/>
  </xdr:twoCellAnchor>
  <xdr:twoCellAnchor editAs="oneCell">
    <xdr:from>
      <xdr:col>2</xdr:col>
      <xdr:colOff>746280</xdr:colOff>
      <xdr:row>56</xdr:row>
      <xdr:rowOff>133200</xdr:rowOff>
    </xdr:from>
    <xdr:to>
      <xdr:col>2</xdr:col>
      <xdr:colOff>1723680</xdr:colOff>
      <xdr:row>56</xdr:row>
      <xdr:rowOff>713520</xdr:rowOff>
    </xdr:to>
    <xdr:pic>
      <xdr:nvPicPr>
        <xdr:cNvPr id="20" name="Picture 20"/>
        <xdr:cNvPicPr/>
      </xdr:nvPicPr>
      <xdr:blipFill>
        <a:blip xmlns:r="http://schemas.openxmlformats.org/officeDocument/2006/relationships" r:embed="rId19"/>
        <a:stretch>
          <a:fillRect/>
        </a:stretch>
      </xdr:blipFill>
      <xdr:spPr>
        <a:xfrm>
          <a:off x="2825115" y="23145115"/>
          <a:ext cx="977265" cy="580390"/>
        </a:xfrm>
        <a:prstGeom prst="rect">
          <a:avLst/>
        </a:prstGeom>
        <a:ln w="0">
          <a:noFill/>
        </a:ln>
      </xdr:spPr>
    </xdr:pic>
    <xdr:clientData/>
  </xdr:twoCellAnchor>
  <xdr:twoCellAnchor editAs="oneCell">
    <xdr:from>
      <xdr:col>2</xdr:col>
      <xdr:colOff>882720</xdr:colOff>
      <xdr:row>40</xdr:row>
      <xdr:rowOff>165240</xdr:rowOff>
    </xdr:from>
    <xdr:to>
      <xdr:col>2</xdr:col>
      <xdr:colOff>1883880</xdr:colOff>
      <xdr:row>40</xdr:row>
      <xdr:rowOff>908640</xdr:rowOff>
    </xdr:to>
    <xdr:pic>
      <xdr:nvPicPr>
        <xdr:cNvPr id="21" name="Picture 21"/>
        <xdr:cNvPicPr/>
      </xdr:nvPicPr>
      <xdr:blipFill>
        <a:blip xmlns:r="http://schemas.openxmlformats.org/officeDocument/2006/relationships" r:embed="rId20"/>
        <a:srcRect l="9087" r="-9087"/>
        <a:stretch>
          <a:fillRect/>
        </a:stretch>
      </xdr:blipFill>
      <xdr:spPr>
        <a:xfrm>
          <a:off x="2961640" y="14290675"/>
          <a:ext cx="1000760" cy="742950"/>
        </a:xfrm>
        <a:prstGeom prst="rect">
          <a:avLst/>
        </a:prstGeom>
        <a:ln w="0">
          <a:noFill/>
        </a:ln>
      </xdr:spPr>
    </xdr:pic>
    <xdr:clientData/>
  </xdr:twoCellAnchor>
  <xdr:twoCellAnchor editAs="oneCell">
    <xdr:from>
      <xdr:col>2</xdr:col>
      <xdr:colOff>919080</xdr:colOff>
      <xdr:row>59</xdr:row>
      <xdr:rowOff>127080</xdr:rowOff>
    </xdr:from>
    <xdr:to>
      <xdr:col>2</xdr:col>
      <xdr:colOff>1722960</xdr:colOff>
      <xdr:row>59</xdr:row>
      <xdr:rowOff>857880</xdr:rowOff>
    </xdr:to>
    <xdr:pic>
      <xdr:nvPicPr>
        <xdr:cNvPr id="22" name="Picture 22"/>
        <xdr:cNvPicPr/>
      </xdr:nvPicPr>
      <xdr:blipFill>
        <a:blip xmlns:r="http://schemas.openxmlformats.org/officeDocument/2006/relationships" r:embed="rId21"/>
        <a:stretch>
          <a:fillRect/>
        </a:stretch>
      </xdr:blipFill>
      <xdr:spPr>
        <a:xfrm flipH="1">
          <a:off x="2997835" y="25434925"/>
          <a:ext cx="803910" cy="730250"/>
        </a:xfrm>
        <a:prstGeom prst="rect">
          <a:avLst/>
        </a:prstGeom>
        <a:ln w="0">
          <a:noFill/>
        </a:ln>
      </xdr:spPr>
    </xdr:pic>
    <xdr:clientData/>
  </xdr:twoCellAnchor>
  <xdr:twoCellAnchor editAs="oneCell">
    <xdr:from>
      <xdr:col>2</xdr:col>
      <xdr:colOff>919800</xdr:colOff>
      <xdr:row>58</xdr:row>
      <xdr:rowOff>210960</xdr:rowOff>
    </xdr:from>
    <xdr:to>
      <xdr:col>2</xdr:col>
      <xdr:colOff>1666440</xdr:colOff>
      <xdr:row>58</xdr:row>
      <xdr:rowOff>883080</xdr:rowOff>
    </xdr:to>
    <xdr:pic>
      <xdr:nvPicPr>
        <xdr:cNvPr id="23" name="Picture 23"/>
        <xdr:cNvPicPr/>
      </xdr:nvPicPr>
      <xdr:blipFill>
        <a:blip xmlns:r="http://schemas.openxmlformats.org/officeDocument/2006/relationships" r:embed="rId22"/>
        <a:stretch>
          <a:fillRect/>
        </a:stretch>
      </xdr:blipFill>
      <xdr:spPr>
        <a:xfrm rot="10800000" flipH="1">
          <a:off x="2998470" y="24623395"/>
          <a:ext cx="746760" cy="671830"/>
        </a:xfrm>
        <a:prstGeom prst="rect">
          <a:avLst/>
        </a:prstGeom>
        <a:ln w="0">
          <a:noFill/>
        </a:ln>
      </xdr:spPr>
    </xdr:pic>
    <xdr:clientData/>
  </xdr:twoCellAnchor>
  <xdr:twoCellAnchor editAs="oneCell">
    <xdr:from>
      <xdr:col>2</xdr:col>
      <xdr:colOff>726120</xdr:colOff>
      <xdr:row>55</xdr:row>
      <xdr:rowOff>63360</xdr:rowOff>
    </xdr:from>
    <xdr:to>
      <xdr:col>2</xdr:col>
      <xdr:colOff>1780920</xdr:colOff>
      <xdr:row>55</xdr:row>
      <xdr:rowOff>508320</xdr:rowOff>
    </xdr:to>
    <xdr:pic>
      <xdr:nvPicPr>
        <xdr:cNvPr id="24" name="Picture 24"/>
        <xdr:cNvPicPr/>
      </xdr:nvPicPr>
      <xdr:blipFill>
        <a:blip xmlns:r="http://schemas.openxmlformats.org/officeDocument/2006/relationships" r:embed="rId23"/>
        <a:stretch>
          <a:fillRect/>
        </a:stretch>
      </xdr:blipFill>
      <xdr:spPr>
        <a:xfrm>
          <a:off x="2804795" y="22513290"/>
          <a:ext cx="1054735" cy="445135"/>
        </a:xfrm>
        <a:prstGeom prst="rect">
          <a:avLst/>
        </a:prstGeom>
        <a:ln w="0">
          <a:noFill/>
        </a:ln>
      </xdr:spPr>
    </xdr:pic>
    <xdr:clientData/>
  </xdr:twoCellAnchor>
  <xdr:twoCellAnchor editAs="oneCell">
    <xdr:from>
      <xdr:col>2</xdr:col>
      <xdr:colOff>802440</xdr:colOff>
      <xdr:row>46</xdr:row>
      <xdr:rowOff>104040</xdr:rowOff>
    </xdr:from>
    <xdr:to>
      <xdr:col>2</xdr:col>
      <xdr:colOff>1627560</xdr:colOff>
      <xdr:row>46</xdr:row>
      <xdr:rowOff>606240</xdr:rowOff>
    </xdr:to>
    <xdr:pic>
      <xdr:nvPicPr>
        <xdr:cNvPr id="25" name="Picture 25"/>
        <xdr:cNvPicPr/>
      </xdr:nvPicPr>
      <xdr:blipFill>
        <a:blip xmlns:r="http://schemas.openxmlformats.org/officeDocument/2006/relationships" r:embed="rId24"/>
        <a:stretch>
          <a:fillRect/>
        </a:stretch>
      </xdr:blipFill>
      <xdr:spPr>
        <a:xfrm>
          <a:off x="2880995" y="18458180"/>
          <a:ext cx="825500" cy="502285"/>
        </a:xfrm>
        <a:prstGeom prst="rect">
          <a:avLst/>
        </a:prstGeom>
        <a:ln w="0">
          <a:noFill/>
        </a:ln>
      </xdr:spPr>
    </xdr:pic>
    <xdr:clientData/>
  </xdr:twoCellAnchor>
  <xdr:twoCellAnchor editAs="oneCell">
    <xdr:from>
      <xdr:col>2</xdr:col>
      <xdr:colOff>776880</xdr:colOff>
      <xdr:row>66</xdr:row>
      <xdr:rowOff>114480</xdr:rowOff>
    </xdr:from>
    <xdr:to>
      <xdr:col>2</xdr:col>
      <xdr:colOff>1976040</xdr:colOff>
      <xdr:row>70</xdr:row>
      <xdr:rowOff>112680</xdr:rowOff>
    </xdr:to>
    <xdr:pic>
      <xdr:nvPicPr>
        <xdr:cNvPr id="26" name="Picture 26"/>
        <xdr:cNvPicPr/>
      </xdr:nvPicPr>
      <xdr:blipFill>
        <a:blip xmlns:r="http://schemas.openxmlformats.org/officeDocument/2006/relationships" r:embed="rId25"/>
        <a:stretch>
          <a:fillRect/>
        </a:stretch>
      </xdr:blipFill>
      <xdr:spPr>
        <a:xfrm>
          <a:off x="2855595" y="28794075"/>
          <a:ext cx="1198880" cy="750570"/>
        </a:xfrm>
        <a:prstGeom prst="rect">
          <a:avLst/>
        </a:prstGeom>
        <a:ln w="0">
          <a:noFill/>
        </a:ln>
      </xdr:spPr>
    </xdr:pic>
    <xdr:clientData/>
  </xdr:twoCellAnchor>
  <xdr:twoCellAnchor editAs="oneCell">
    <xdr:from>
      <xdr:col>2</xdr:col>
      <xdr:colOff>965160</xdr:colOff>
      <xdr:row>45</xdr:row>
      <xdr:rowOff>146160</xdr:rowOff>
    </xdr:from>
    <xdr:to>
      <xdr:col>2</xdr:col>
      <xdr:colOff>1507320</xdr:colOff>
      <xdr:row>45</xdr:row>
      <xdr:rowOff>778680</xdr:rowOff>
    </xdr:to>
    <xdr:pic>
      <xdr:nvPicPr>
        <xdr:cNvPr id="27" name="Picture 27"/>
        <xdr:cNvPicPr/>
      </xdr:nvPicPr>
      <xdr:blipFill>
        <a:blip xmlns:r="http://schemas.openxmlformats.org/officeDocument/2006/relationships" r:embed="rId26"/>
        <a:stretch>
          <a:fillRect/>
        </a:stretch>
      </xdr:blipFill>
      <xdr:spPr>
        <a:xfrm>
          <a:off x="3043555" y="17643475"/>
          <a:ext cx="542290" cy="632460"/>
        </a:xfrm>
        <a:prstGeom prst="rect">
          <a:avLst/>
        </a:prstGeom>
        <a:ln w="0">
          <a:noFill/>
        </a:ln>
      </xdr:spPr>
    </xdr:pic>
    <xdr:clientData/>
  </xdr:twoCellAnchor>
  <xdr:twoCellAnchor editAs="oneCell">
    <xdr:from>
      <xdr:col>2</xdr:col>
      <xdr:colOff>892080</xdr:colOff>
      <xdr:row>62</xdr:row>
      <xdr:rowOff>134280</xdr:rowOff>
    </xdr:from>
    <xdr:to>
      <xdr:col>2</xdr:col>
      <xdr:colOff>1818360</xdr:colOff>
      <xdr:row>63</xdr:row>
      <xdr:rowOff>358560</xdr:rowOff>
    </xdr:to>
    <xdr:pic>
      <xdr:nvPicPr>
        <xdr:cNvPr id="28" name="Picture 28"/>
        <xdr:cNvPicPr/>
      </xdr:nvPicPr>
      <xdr:blipFill>
        <a:blip xmlns:r="http://schemas.openxmlformats.org/officeDocument/2006/relationships" r:embed="rId27"/>
        <a:stretch>
          <a:fillRect/>
        </a:stretch>
      </xdr:blipFill>
      <xdr:spPr>
        <a:xfrm flipH="1">
          <a:off x="2970530" y="27146885"/>
          <a:ext cx="926465" cy="405130"/>
        </a:xfrm>
        <a:prstGeom prst="rect">
          <a:avLst/>
        </a:prstGeom>
        <a:ln w="0">
          <a:noFill/>
        </a:ln>
      </xdr:spPr>
    </xdr:pic>
    <xdr:clientData/>
  </xdr:twoCellAnchor>
  <xdr:twoCellAnchor editAs="oneCell">
    <xdr:from>
      <xdr:col>2</xdr:col>
      <xdr:colOff>729000</xdr:colOff>
      <xdr:row>49</xdr:row>
      <xdr:rowOff>16200</xdr:rowOff>
    </xdr:from>
    <xdr:to>
      <xdr:col>2</xdr:col>
      <xdr:colOff>1608480</xdr:colOff>
      <xdr:row>50</xdr:row>
      <xdr:rowOff>527040</xdr:rowOff>
    </xdr:to>
    <xdr:pic>
      <xdr:nvPicPr>
        <xdr:cNvPr id="29" name="Picture 29"/>
        <xdr:cNvPicPr/>
      </xdr:nvPicPr>
      <xdr:blipFill>
        <a:blip xmlns:r="http://schemas.openxmlformats.org/officeDocument/2006/relationships" r:embed="rId28"/>
        <a:stretch>
          <a:fillRect/>
        </a:stretch>
      </xdr:blipFill>
      <xdr:spPr>
        <a:xfrm>
          <a:off x="2807970" y="19846925"/>
          <a:ext cx="879475" cy="691515"/>
        </a:xfrm>
        <a:prstGeom prst="rect">
          <a:avLst/>
        </a:prstGeom>
        <a:ln w="0">
          <a:noFill/>
        </a:ln>
      </xdr:spPr>
    </xdr:pic>
    <xdr:clientData/>
  </xdr:twoCellAnchor>
  <xdr:twoCellAnchor editAs="oneCell">
    <xdr:from>
      <xdr:col>2</xdr:col>
      <xdr:colOff>732600</xdr:colOff>
      <xdr:row>53</xdr:row>
      <xdr:rowOff>169920</xdr:rowOff>
    </xdr:from>
    <xdr:to>
      <xdr:col>2</xdr:col>
      <xdr:colOff>1660320</xdr:colOff>
      <xdr:row>54</xdr:row>
      <xdr:rowOff>630360</xdr:rowOff>
    </xdr:to>
    <xdr:pic>
      <xdr:nvPicPr>
        <xdr:cNvPr id="30" name="Picture 30"/>
        <xdr:cNvPicPr/>
      </xdr:nvPicPr>
      <xdr:blipFill>
        <a:blip xmlns:r="http://schemas.openxmlformats.org/officeDocument/2006/relationships" r:embed="rId29"/>
        <a:stretch>
          <a:fillRect/>
        </a:stretch>
      </xdr:blipFill>
      <xdr:spPr>
        <a:xfrm>
          <a:off x="2811145" y="21676995"/>
          <a:ext cx="927735" cy="641350"/>
        </a:xfrm>
        <a:prstGeom prst="rect">
          <a:avLst/>
        </a:prstGeom>
        <a:ln w="0">
          <a:noFill/>
        </a:ln>
      </xdr:spPr>
    </xdr:pic>
    <xdr:clientData/>
  </xdr:twoCellAnchor>
  <xdr:twoCellAnchor editAs="oneCell">
    <xdr:from>
      <xdr:col>2</xdr:col>
      <xdr:colOff>752400</xdr:colOff>
      <xdr:row>51</xdr:row>
      <xdr:rowOff>100800</xdr:rowOff>
    </xdr:from>
    <xdr:to>
      <xdr:col>2</xdr:col>
      <xdr:colOff>1604160</xdr:colOff>
      <xdr:row>52</xdr:row>
      <xdr:rowOff>541080</xdr:rowOff>
    </xdr:to>
    <xdr:pic>
      <xdr:nvPicPr>
        <xdr:cNvPr id="31" name="Picture 31"/>
        <xdr:cNvPicPr/>
      </xdr:nvPicPr>
      <xdr:blipFill>
        <a:blip xmlns:r="http://schemas.openxmlformats.org/officeDocument/2006/relationships" r:embed="rId30"/>
        <a:stretch>
          <a:fillRect/>
        </a:stretch>
      </xdr:blipFill>
      <xdr:spPr>
        <a:xfrm>
          <a:off x="2830830" y="20760055"/>
          <a:ext cx="852170" cy="621665"/>
        </a:xfrm>
        <a:prstGeom prst="rect">
          <a:avLst/>
        </a:prstGeom>
        <a:ln w="0">
          <a:noFill/>
        </a:ln>
      </xdr:spPr>
    </xdr:pic>
    <xdr:clientData/>
  </xdr:twoCellAnchor>
  <xdr:twoCellAnchor editAs="oneCell">
    <xdr:from>
      <xdr:col>2</xdr:col>
      <xdr:colOff>751680</xdr:colOff>
      <xdr:row>64</xdr:row>
      <xdr:rowOff>137160</xdr:rowOff>
    </xdr:from>
    <xdr:to>
      <xdr:col>2</xdr:col>
      <xdr:colOff>1896840</xdr:colOff>
      <xdr:row>65</xdr:row>
      <xdr:rowOff>659880</xdr:rowOff>
    </xdr:to>
    <xdr:pic>
      <xdr:nvPicPr>
        <xdr:cNvPr id="32" name="Picture 32"/>
        <xdr:cNvPicPr/>
      </xdr:nvPicPr>
      <xdr:blipFill>
        <a:blip xmlns:r="http://schemas.openxmlformats.org/officeDocument/2006/relationships" r:embed="rId31"/>
        <a:stretch>
          <a:fillRect/>
        </a:stretch>
      </xdr:blipFill>
      <xdr:spPr>
        <a:xfrm>
          <a:off x="2830195" y="27788235"/>
          <a:ext cx="1145540" cy="703580"/>
        </a:xfrm>
        <a:prstGeom prst="rect">
          <a:avLst/>
        </a:prstGeom>
        <a:ln w="0">
          <a:noFill/>
        </a:ln>
      </xdr:spPr>
    </xdr:pic>
    <xdr:clientData/>
  </xdr:twoCellAnchor>
  <xdr:twoCellAnchor editAs="oneCell">
    <xdr:from>
      <xdr:col>2</xdr:col>
      <xdr:colOff>934560</xdr:colOff>
      <xdr:row>60</xdr:row>
      <xdr:rowOff>114480</xdr:rowOff>
    </xdr:from>
    <xdr:to>
      <xdr:col>2</xdr:col>
      <xdr:colOff>1778400</xdr:colOff>
      <xdr:row>61</xdr:row>
      <xdr:rowOff>502560</xdr:rowOff>
    </xdr:to>
    <xdr:pic>
      <xdr:nvPicPr>
        <xdr:cNvPr id="33" name="Picture 33"/>
        <xdr:cNvPicPr/>
      </xdr:nvPicPr>
      <xdr:blipFill>
        <a:blip xmlns:r="http://schemas.openxmlformats.org/officeDocument/2006/relationships" r:embed="rId32"/>
        <a:stretch>
          <a:fillRect/>
        </a:stretch>
      </xdr:blipFill>
      <xdr:spPr>
        <a:xfrm flipH="1">
          <a:off x="3013075" y="26308050"/>
          <a:ext cx="843915" cy="568960"/>
        </a:xfrm>
        <a:prstGeom prst="rect">
          <a:avLst/>
        </a:prstGeom>
        <a:ln w="0">
          <a:noFill/>
        </a:ln>
      </xdr:spPr>
    </xdr:pic>
    <xdr:clientData/>
  </xdr:twoCellAnchor>
  <xdr:twoCellAnchor editAs="oneCell">
    <xdr:from>
      <xdr:col>2</xdr:col>
      <xdr:colOff>815040</xdr:colOff>
      <xdr:row>56</xdr:row>
      <xdr:rowOff>774720</xdr:rowOff>
    </xdr:from>
    <xdr:to>
      <xdr:col>2</xdr:col>
      <xdr:colOff>1770480</xdr:colOff>
      <xdr:row>57</xdr:row>
      <xdr:rowOff>615600</xdr:rowOff>
    </xdr:to>
    <xdr:pic>
      <xdr:nvPicPr>
        <xdr:cNvPr id="34" name="Picture 34"/>
        <xdr:cNvPicPr/>
      </xdr:nvPicPr>
      <xdr:blipFill>
        <a:blip xmlns:r="http://schemas.openxmlformats.org/officeDocument/2006/relationships" r:embed="rId33"/>
        <a:stretch>
          <a:fillRect/>
        </a:stretch>
      </xdr:blipFill>
      <xdr:spPr>
        <a:xfrm>
          <a:off x="2893695" y="23787100"/>
          <a:ext cx="955675" cy="621665"/>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276</xdr:row>
      <xdr:rowOff>0</xdr:rowOff>
    </xdr:from>
    <xdr:to>
      <xdr:col>8</xdr:col>
      <xdr:colOff>281880</xdr:colOff>
      <xdr:row>277</xdr:row>
      <xdr:rowOff>9360</xdr:rowOff>
    </xdr:to>
    <xdr:pic>
      <xdr:nvPicPr>
        <xdr:cNvPr id="33" name="Picture 1"/>
        <xdr:cNvPicPr/>
      </xdr:nvPicPr>
      <xdr:blipFill>
        <a:blip xmlns:r="http://schemas.openxmlformats.org/officeDocument/2006/relationships" r:embed="rId1"/>
        <a:stretch>
          <a:fillRect/>
        </a:stretch>
      </xdr:blipFill>
      <xdr:spPr>
        <a:xfrm>
          <a:off x="8945880" y="70342125"/>
          <a:ext cx="1481455" cy="199390"/>
        </a:xfrm>
        <a:prstGeom prst="rect">
          <a:avLst/>
        </a:prstGeom>
        <a:ln w="0">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MJ72"/>
  <sheetViews>
    <sheetView zoomScale="39" zoomScaleNormal="39" workbookViewId="0">
      <selection activeCell="C11" sqref="C11"/>
    </sheetView>
  </sheetViews>
  <sheetFormatPr defaultColWidth="9" defaultRowHeight="14.4"/>
  <cols>
    <col min="1" max="1" width="9" style="101"/>
    <col min="2" max="2" width="22.21875" style="101" customWidth="1"/>
    <col min="3" max="3" width="50.6640625" style="101" customWidth="1"/>
    <col min="4" max="4" width="47.5546875" style="101" customWidth="1"/>
    <col min="5" max="5" width="24.21875" style="101" customWidth="1"/>
    <col min="6" max="7" width="9" style="101"/>
    <col min="8" max="8" width="21.44140625" style="101" customWidth="1"/>
    <col min="9" max="9" width="15.21875" style="101" customWidth="1"/>
    <col min="10" max="1024" width="9" style="101"/>
  </cols>
  <sheetData>
    <row r="2" spans="2:8" ht="37.5" customHeight="1">
      <c r="C2" s="102"/>
      <c r="D2" s="103" t="s">
        <v>0</v>
      </c>
      <c r="E2" s="104"/>
      <c r="F2" s="104"/>
      <c r="G2" s="104"/>
      <c r="H2" s="105"/>
    </row>
    <row r="4" spans="2:8">
      <c r="F4" s="101" t="s">
        <v>1</v>
      </c>
    </row>
    <row r="5" spans="2:8">
      <c r="B5" s="106" t="s">
        <v>2</v>
      </c>
      <c r="C5" s="106" t="s">
        <v>3</v>
      </c>
      <c r="D5" s="106" t="s">
        <v>4</v>
      </c>
      <c r="E5" s="106" t="s">
        <v>5</v>
      </c>
    </row>
    <row r="6" spans="2:8">
      <c r="B6" s="107" t="s">
        <v>6</v>
      </c>
      <c r="C6" s="107" t="s">
        <v>7</v>
      </c>
      <c r="D6" s="108" t="s">
        <v>8</v>
      </c>
      <c r="E6" s="109"/>
    </row>
    <row r="7" spans="2:8">
      <c r="B7" s="107" t="s">
        <v>6</v>
      </c>
      <c r="C7" s="107" t="s">
        <v>9</v>
      </c>
      <c r="D7" s="110"/>
      <c r="E7" s="109"/>
    </row>
    <row r="8" spans="2:8">
      <c r="B8" s="107" t="s">
        <v>6</v>
      </c>
      <c r="C8" s="107" t="s">
        <v>10</v>
      </c>
      <c r="D8" s="110"/>
      <c r="E8" s="109"/>
    </row>
    <row r="9" spans="2:8">
      <c r="B9" s="107" t="s">
        <v>6</v>
      </c>
      <c r="C9" s="107" t="s">
        <v>11</v>
      </c>
      <c r="D9" s="110" t="s">
        <v>12</v>
      </c>
      <c r="E9" s="111" t="s">
        <v>13</v>
      </c>
    </row>
    <row r="10" spans="2:8">
      <c r="B10" s="107" t="s">
        <v>6</v>
      </c>
      <c r="C10" s="107" t="s">
        <v>14</v>
      </c>
      <c r="D10" s="110"/>
      <c r="E10" s="109"/>
    </row>
    <row r="11" spans="2:8">
      <c r="B11" s="107" t="s">
        <v>6</v>
      </c>
      <c r="C11" s="107" t="s">
        <v>15</v>
      </c>
      <c r="D11" s="110" t="s">
        <v>16</v>
      </c>
      <c r="E11" s="109"/>
    </row>
    <row r="12" spans="2:8">
      <c r="B12" s="107" t="s">
        <v>6</v>
      </c>
      <c r="C12" s="107" t="s">
        <v>17</v>
      </c>
      <c r="D12" s="110"/>
      <c r="E12" s="109"/>
    </row>
    <row r="13" spans="2:8">
      <c r="B13" s="107" t="s">
        <v>6</v>
      </c>
      <c r="C13" s="107" t="s">
        <v>18</v>
      </c>
      <c r="D13" s="110">
        <v>1</v>
      </c>
      <c r="E13" s="109"/>
    </row>
    <row r="14" spans="2:8">
      <c r="B14" s="107" t="s">
        <v>6</v>
      </c>
      <c r="C14" s="107" t="s">
        <v>19</v>
      </c>
      <c r="D14" s="110" t="s">
        <v>20</v>
      </c>
      <c r="E14" s="112"/>
    </row>
    <row r="16" spans="2:8">
      <c r="B16" s="113" t="s">
        <v>21</v>
      </c>
    </row>
    <row r="18" spans="2:4">
      <c r="B18" s="114" t="s">
        <v>22</v>
      </c>
      <c r="C18" s="115" t="s">
        <v>23</v>
      </c>
      <c r="D18" s="115" t="s">
        <v>5</v>
      </c>
    </row>
    <row r="19" spans="2:4" ht="33.75" customHeight="1">
      <c r="B19" s="116" t="s">
        <v>24</v>
      </c>
      <c r="C19" s="107"/>
      <c r="D19" s="112"/>
    </row>
    <row r="20" spans="2:4" ht="57" customHeight="1">
      <c r="B20" s="116" t="s">
        <v>25</v>
      </c>
      <c r="C20" s="107"/>
      <c r="D20" s="112"/>
    </row>
    <row r="21" spans="2:4" ht="41.25" customHeight="1">
      <c r="B21" s="116" t="s">
        <v>26</v>
      </c>
      <c r="C21" s="107"/>
      <c r="D21" s="112"/>
    </row>
    <row r="22" spans="2:4" ht="47.25" customHeight="1">
      <c r="B22" s="117" t="s">
        <v>27</v>
      </c>
      <c r="C22" s="107"/>
      <c r="D22" s="112"/>
    </row>
    <row r="23" spans="2:4" ht="40.5" customHeight="1">
      <c r="B23" s="116" t="s">
        <v>28</v>
      </c>
      <c r="C23" s="107"/>
      <c r="D23" s="112"/>
    </row>
    <row r="24" spans="2:4" ht="48.75" customHeight="1">
      <c r="B24" s="117" t="s">
        <v>29</v>
      </c>
      <c r="C24" s="107"/>
      <c r="D24" s="112"/>
    </row>
    <row r="25" spans="2:4" ht="55.5" customHeight="1">
      <c r="B25" s="117" t="s">
        <v>30</v>
      </c>
      <c r="C25" s="107"/>
      <c r="D25" s="112"/>
    </row>
    <row r="26" spans="2:4" ht="54.75" customHeight="1">
      <c r="B26" s="117" t="s">
        <v>31</v>
      </c>
      <c r="C26" s="107"/>
      <c r="D26" s="112"/>
    </row>
    <row r="27" spans="2:4" ht="50.25" customHeight="1">
      <c r="B27" s="116" t="s">
        <v>32</v>
      </c>
      <c r="C27" s="107"/>
      <c r="D27" s="112"/>
    </row>
    <row r="28" spans="2:4" ht="42.75" customHeight="1">
      <c r="B28" s="117" t="s">
        <v>33</v>
      </c>
      <c r="C28" s="107"/>
      <c r="D28" s="112"/>
    </row>
    <row r="29" spans="2:4" ht="43.5" customHeight="1">
      <c r="B29" s="116" t="s">
        <v>34</v>
      </c>
      <c r="C29" s="107"/>
      <c r="D29" s="112"/>
    </row>
    <row r="30" spans="2:4">
      <c r="B30" s="118"/>
      <c r="C30" s="119"/>
    </row>
    <row r="31" spans="2:4">
      <c r="B31" s="120"/>
      <c r="C31" s="121"/>
    </row>
    <row r="32" spans="2:4">
      <c r="B32" s="120"/>
      <c r="C32" s="121"/>
    </row>
    <row r="33" spans="2:4">
      <c r="B33" s="120"/>
      <c r="C33" s="121"/>
    </row>
    <row r="34" spans="2:4">
      <c r="B34" s="120"/>
      <c r="C34" s="121"/>
    </row>
    <row r="35" spans="2:4">
      <c r="B35" s="120"/>
      <c r="C35" s="121"/>
    </row>
    <row r="36" spans="2:4">
      <c r="B36" s="122" t="s">
        <v>35</v>
      </c>
      <c r="C36" s="121"/>
    </row>
    <row r="37" spans="2:4">
      <c r="B37" s="123"/>
      <c r="C37" s="124"/>
    </row>
    <row r="38" spans="2:4" ht="36.75" customHeight="1">
      <c r="B38" s="125" t="s">
        <v>22</v>
      </c>
      <c r="C38" s="126" t="s">
        <v>36</v>
      </c>
      <c r="D38" s="126" t="s">
        <v>5</v>
      </c>
    </row>
    <row r="39" spans="2:4" ht="82.5" customHeight="1">
      <c r="B39" s="127" t="s">
        <v>37</v>
      </c>
      <c r="C39" s="128"/>
      <c r="D39" s="112"/>
    </row>
    <row r="40" spans="2:4" ht="65.25" customHeight="1">
      <c r="B40" s="129" t="s">
        <v>38</v>
      </c>
      <c r="C40" s="128"/>
      <c r="D40" s="112"/>
    </row>
    <row r="41" spans="2:4" ht="76.5" customHeight="1">
      <c r="B41" s="129" t="s">
        <v>39</v>
      </c>
      <c r="C41" s="128"/>
      <c r="D41" s="112"/>
    </row>
    <row r="42" spans="2:4" ht="69" customHeight="1">
      <c r="B42" s="129" t="s">
        <v>40</v>
      </c>
      <c r="C42" s="128"/>
      <c r="D42" s="112"/>
    </row>
    <row r="43" spans="2:4" ht="14.25" customHeight="1">
      <c r="B43" s="132" t="s">
        <v>41</v>
      </c>
      <c r="C43" s="133"/>
      <c r="D43" s="130"/>
    </row>
    <row r="44" spans="2:4" ht="42.75" customHeight="1">
      <c r="B44" s="132"/>
      <c r="C44" s="133"/>
      <c r="D44" s="112"/>
    </row>
    <row r="45" spans="2:4" ht="63" customHeight="1">
      <c r="B45" s="129" t="s">
        <v>42</v>
      </c>
      <c r="C45" s="128"/>
      <c r="D45" s="112"/>
    </row>
    <row r="46" spans="2:4" ht="67.5" customHeight="1">
      <c r="B46" s="129" t="s">
        <v>43</v>
      </c>
      <c r="C46" s="128"/>
      <c r="D46" s="112"/>
    </row>
    <row r="47" spans="2:4" ht="54" customHeight="1">
      <c r="B47" s="129" t="s">
        <v>44</v>
      </c>
      <c r="C47" s="128"/>
      <c r="D47" s="112"/>
    </row>
    <row r="48" spans="2:4" ht="14.25" customHeight="1">
      <c r="B48" s="132" t="s">
        <v>45</v>
      </c>
      <c r="C48" s="133"/>
      <c r="D48" s="112"/>
    </row>
    <row r="49" spans="2:4" ht="48" customHeight="1">
      <c r="B49" s="132"/>
      <c r="C49" s="133"/>
      <c r="D49" s="112"/>
    </row>
    <row r="50" spans="2:4" ht="14.25" customHeight="1">
      <c r="B50" s="132" t="s">
        <v>46</v>
      </c>
      <c r="C50" s="133"/>
      <c r="D50" s="112"/>
    </row>
    <row r="51" spans="2:4" ht="51" customHeight="1">
      <c r="B51" s="132"/>
      <c r="C51" s="133"/>
      <c r="D51" s="112"/>
    </row>
    <row r="52" spans="2:4" ht="14.25" customHeight="1">
      <c r="B52" s="132" t="s">
        <v>47</v>
      </c>
      <c r="C52" s="133"/>
      <c r="D52" s="112"/>
    </row>
    <row r="53" spans="2:4" ht="52.5" customHeight="1">
      <c r="B53" s="132"/>
      <c r="C53" s="133"/>
      <c r="D53" s="112"/>
    </row>
    <row r="54" spans="2:4" ht="14.25" customHeight="1">
      <c r="B54" s="132" t="s">
        <v>48</v>
      </c>
      <c r="C54" s="133"/>
      <c r="D54" s="112"/>
    </row>
    <row r="55" spans="2:4" ht="60" customHeight="1">
      <c r="B55" s="132"/>
      <c r="C55" s="133"/>
      <c r="D55" s="112"/>
    </row>
    <row r="56" spans="2:4" ht="44.25" customHeight="1">
      <c r="B56" s="129" t="s">
        <v>49</v>
      </c>
      <c r="C56" s="128"/>
      <c r="D56" s="112"/>
    </row>
    <row r="57" spans="2:4" ht="61.5" customHeight="1">
      <c r="B57" s="129" t="s">
        <v>50</v>
      </c>
      <c r="C57" s="128"/>
      <c r="D57" s="112"/>
    </row>
    <row r="58" spans="2:4" ht="48.75" customHeight="1">
      <c r="B58" s="129" t="s">
        <v>51</v>
      </c>
      <c r="C58" s="128"/>
      <c r="D58" s="112"/>
    </row>
    <row r="59" spans="2:4" ht="70.5" customHeight="1">
      <c r="B59" s="129" t="s">
        <v>52</v>
      </c>
      <c r="C59" s="128"/>
      <c r="D59" s="112"/>
    </row>
    <row r="60" spans="2:4" ht="69.75" customHeight="1">
      <c r="B60" s="129" t="s">
        <v>53</v>
      </c>
      <c r="C60" s="128"/>
      <c r="D60" s="112"/>
    </row>
    <row r="61" spans="2:4" ht="14.25" customHeight="1">
      <c r="B61" s="132" t="s">
        <v>54</v>
      </c>
      <c r="C61" s="133"/>
      <c r="D61" s="131"/>
    </row>
    <row r="62" spans="2:4" ht="50.25" customHeight="1">
      <c r="B62" s="132"/>
      <c r="C62" s="133"/>
      <c r="D62" s="131"/>
    </row>
    <row r="63" spans="2:4" ht="14.25" customHeight="1">
      <c r="B63" s="132" t="s">
        <v>55</v>
      </c>
      <c r="C63" s="133"/>
      <c r="D63" s="131"/>
    </row>
    <row r="64" spans="2:4" ht="36" customHeight="1">
      <c r="B64" s="132"/>
      <c r="C64" s="133"/>
      <c r="D64" s="131"/>
    </row>
    <row r="65" spans="2:4" ht="14.25" customHeight="1">
      <c r="B65" s="132" t="s">
        <v>56</v>
      </c>
      <c r="C65" s="133"/>
      <c r="D65" s="131"/>
    </row>
    <row r="66" spans="2:4" ht="66.75" customHeight="1">
      <c r="B66" s="132"/>
      <c r="C66" s="133"/>
      <c r="D66" s="131"/>
    </row>
    <row r="67" spans="2:4" ht="14.25" customHeight="1">
      <c r="B67" s="132" t="s">
        <v>57</v>
      </c>
      <c r="C67" s="133"/>
      <c r="D67" s="131"/>
    </row>
    <row r="68" spans="2:4">
      <c r="B68" s="132"/>
      <c r="C68" s="133"/>
      <c r="D68" s="131"/>
    </row>
    <row r="69" spans="2:4">
      <c r="B69" s="132"/>
      <c r="C69" s="133"/>
      <c r="D69" s="131"/>
    </row>
    <row r="70" spans="2:4">
      <c r="B70" s="132"/>
      <c r="C70" s="133"/>
      <c r="D70" s="131"/>
    </row>
    <row r="71" spans="2:4">
      <c r="B71" s="132"/>
      <c r="C71" s="133"/>
      <c r="D71" s="131"/>
    </row>
    <row r="72" spans="2:4" ht="43.5" customHeight="1">
      <c r="B72" s="129" t="s">
        <v>58</v>
      </c>
      <c r="C72" s="128"/>
      <c r="D72" s="112"/>
    </row>
  </sheetData>
  <mergeCells count="22">
    <mergeCell ref="B43:B44"/>
    <mergeCell ref="B48:B49"/>
    <mergeCell ref="B50:B51"/>
    <mergeCell ref="B52:B53"/>
    <mergeCell ref="B54:B55"/>
    <mergeCell ref="C43:C44"/>
    <mergeCell ref="C48:C49"/>
    <mergeCell ref="C50:C51"/>
    <mergeCell ref="C52:C53"/>
    <mergeCell ref="C54:C55"/>
    <mergeCell ref="D61:D62"/>
    <mergeCell ref="D63:D64"/>
    <mergeCell ref="D65:D66"/>
    <mergeCell ref="D67:D71"/>
    <mergeCell ref="B61:B62"/>
    <mergeCell ref="B63:B64"/>
    <mergeCell ref="B65:B66"/>
    <mergeCell ref="B67:B71"/>
    <mergeCell ref="C61:C62"/>
    <mergeCell ref="C63:C64"/>
    <mergeCell ref="C65:C66"/>
    <mergeCell ref="C67:C71"/>
  </mergeCell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257"/>
  <sheetViews>
    <sheetView topLeftCell="L1" zoomScale="39" zoomScaleNormal="39" workbookViewId="0">
      <selection activeCell="K4" sqref="K4"/>
    </sheetView>
  </sheetViews>
  <sheetFormatPr defaultColWidth="8.6640625" defaultRowHeight="14.4"/>
  <cols>
    <col min="1" max="1" width="45.109375" style="81" customWidth="1"/>
    <col min="2" max="2" width="45.6640625" style="81" customWidth="1"/>
    <col min="3" max="3" width="35.44140625" style="81" customWidth="1"/>
    <col min="4" max="4" width="82" style="82" customWidth="1"/>
    <col min="5" max="6" width="36.21875" style="81" customWidth="1"/>
    <col min="7" max="7" width="17.5546875" style="81" customWidth="1"/>
    <col min="8" max="8" width="8.88671875" style="81" customWidth="1"/>
    <col min="9" max="9" width="15.77734375" style="81" customWidth="1"/>
    <col min="10" max="10" width="18.21875" style="81" customWidth="1"/>
    <col min="11" max="11" width="27.6640625" style="81" customWidth="1"/>
    <col min="12" max="12" width="29.88671875" style="81" customWidth="1"/>
    <col min="13" max="13" width="26.88671875" style="81" customWidth="1"/>
    <col min="14" max="14" width="29.21875" style="81" customWidth="1"/>
    <col min="15" max="15" width="29.88671875" style="81" customWidth="1"/>
    <col min="16" max="16" width="22" style="81" customWidth="1"/>
    <col min="17" max="17" width="24.77734375" style="81" customWidth="1"/>
    <col min="18" max="18" width="16.88671875" style="81" customWidth="1"/>
    <col min="19" max="19" width="27" style="81" customWidth="1"/>
    <col min="20" max="20" width="28.5546875" style="81" customWidth="1"/>
    <col min="21" max="21" width="14.6640625" style="81" customWidth="1"/>
    <col min="22" max="22" width="23.33203125" style="81" customWidth="1"/>
    <col min="23" max="23" width="20.21875" style="81" customWidth="1"/>
    <col min="24" max="24" width="36.21875" style="81" customWidth="1"/>
    <col min="25" max="25" width="2.44140625" style="81" customWidth="1"/>
    <col min="26" max="1024" width="8.6640625" style="81"/>
  </cols>
  <sheetData>
    <row r="1" spans="2:25" ht="23.4">
      <c r="B1" s="83" t="s">
        <v>59</v>
      </c>
    </row>
    <row r="2" spans="2:25">
      <c r="B2" s="84" t="s">
        <v>60</v>
      </c>
    </row>
    <row r="4" spans="2:25" ht="44.25" customHeight="1">
      <c r="B4" s="85" t="s">
        <v>61</v>
      </c>
      <c r="C4" s="85" t="s">
        <v>62</v>
      </c>
      <c r="D4" s="85" t="s">
        <v>63</v>
      </c>
      <c r="E4" s="85" t="s">
        <v>5</v>
      </c>
      <c r="H4" s="85" t="s">
        <v>64</v>
      </c>
      <c r="I4" s="85" t="s">
        <v>65</v>
      </c>
      <c r="J4" s="85" t="s">
        <v>66</v>
      </c>
      <c r="K4" s="85" t="s">
        <v>67</v>
      </c>
      <c r="L4" s="85" t="s">
        <v>68</v>
      </c>
      <c r="M4" s="85" t="s">
        <v>69</v>
      </c>
      <c r="N4" s="85" t="s">
        <v>70</v>
      </c>
      <c r="O4" s="85" t="s">
        <v>71</v>
      </c>
      <c r="P4" s="85" t="s">
        <v>72</v>
      </c>
      <c r="Q4" s="85" t="s">
        <v>73</v>
      </c>
      <c r="R4" s="85" t="s">
        <v>74</v>
      </c>
      <c r="S4" s="85" t="s">
        <v>75</v>
      </c>
      <c r="T4" s="85" t="s">
        <v>76</v>
      </c>
      <c r="U4" s="85" t="s">
        <v>77</v>
      </c>
      <c r="V4" s="85" t="s">
        <v>78</v>
      </c>
      <c r="W4" s="85" t="s">
        <v>79</v>
      </c>
      <c r="X4" s="85" t="s">
        <v>5</v>
      </c>
    </row>
    <row r="5" spans="2:25" ht="69" customHeight="1">
      <c r="B5" s="86" t="s">
        <v>62</v>
      </c>
      <c r="C5" s="86" t="s">
        <v>80</v>
      </c>
      <c r="D5" s="87" t="str">
        <f>IFERROR(VLOOKUP(C5,HiddenSheet!$H$4:$N$35,7,FALSE()),"")</f>
        <v>Reserved for additional parameters or miscellaneous settings.</v>
      </c>
      <c r="E5" s="86" t="s">
        <v>81</v>
      </c>
      <c r="H5" s="88">
        <v>1</v>
      </c>
      <c r="I5" s="88">
        <v>1</v>
      </c>
      <c r="J5" s="88">
        <v>1</v>
      </c>
      <c r="K5" s="86" t="s">
        <v>82</v>
      </c>
      <c r="L5" s="88">
        <v>1</v>
      </c>
      <c r="M5" s="88">
        <v>8</v>
      </c>
      <c r="N5" s="88" t="s">
        <v>83</v>
      </c>
      <c r="O5" s="88" t="s">
        <v>84</v>
      </c>
      <c r="P5" s="86" t="s">
        <v>85</v>
      </c>
      <c r="Q5" s="86" t="s">
        <v>85</v>
      </c>
      <c r="R5" s="86" t="s">
        <v>86</v>
      </c>
      <c r="S5" s="86" t="s">
        <v>86</v>
      </c>
      <c r="T5" s="86"/>
      <c r="U5" s="86"/>
      <c r="V5" s="86"/>
      <c r="W5" s="86"/>
      <c r="X5" s="86"/>
      <c r="Y5" s="96"/>
    </row>
    <row r="6" spans="2:25" ht="83.25" customHeight="1">
      <c r="B6" s="86" t="s">
        <v>87</v>
      </c>
      <c r="C6" s="86" t="s">
        <v>88</v>
      </c>
      <c r="D6" s="87" t="str">
        <f>IFERROR(VLOOKUP(C6,HiddenSheet!$B$277:$C$291,2,FALSE()),"")</f>
        <v>The frame is sent when the designated button is pressed.</v>
      </c>
      <c r="E6" s="86"/>
      <c r="H6" s="88">
        <v>2</v>
      </c>
      <c r="I6" s="88">
        <v>2</v>
      </c>
      <c r="J6" s="88">
        <v>2</v>
      </c>
      <c r="K6" s="86" t="s">
        <v>89</v>
      </c>
      <c r="L6" s="88">
        <v>1</v>
      </c>
      <c r="M6" s="88">
        <v>8</v>
      </c>
      <c r="N6" s="88" t="s">
        <v>83</v>
      </c>
      <c r="O6" s="88" t="s">
        <v>84</v>
      </c>
      <c r="P6" s="86" t="s">
        <v>85</v>
      </c>
      <c r="Q6" s="86" t="s">
        <v>85</v>
      </c>
      <c r="R6" s="86" t="s">
        <v>90</v>
      </c>
      <c r="S6" s="86" t="s">
        <v>90</v>
      </c>
      <c r="T6" s="86"/>
      <c r="U6" s="86"/>
      <c r="V6" s="86"/>
      <c r="W6" s="86"/>
      <c r="X6" s="86"/>
    </row>
    <row r="7" spans="2:25" ht="56.25" customHeight="1">
      <c r="B7" s="86" t="s">
        <v>91</v>
      </c>
      <c r="C7" s="86" t="s">
        <v>92</v>
      </c>
      <c r="D7" s="87" t="str">
        <f>IFERROR(VLOOKUP(C7,HiddenSheet!$C$226:$D$268,2,FALSE()),"")</f>
        <v>This frame is a command that can originate from the application, server, or device, used to initiate an action or request information.</v>
      </c>
      <c r="E7" s="86" t="s">
        <v>93</v>
      </c>
      <c r="H7" s="88">
        <v>3</v>
      </c>
      <c r="I7" s="88">
        <v>3</v>
      </c>
      <c r="J7" s="88">
        <v>6</v>
      </c>
      <c r="K7" s="86" t="s">
        <v>94</v>
      </c>
      <c r="L7" s="88">
        <v>4</v>
      </c>
      <c r="M7" s="88">
        <v>32</v>
      </c>
      <c r="N7" s="88" t="s">
        <v>95</v>
      </c>
      <c r="O7" s="88" t="s">
        <v>96</v>
      </c>
      <c r="P7" s="86">
        <v>0.1</v>
      </c>
      <c r="Q7" s="86" t="s">
        <v>97</v>
      </c>
      <c r="R7" s="86" t="s">
        <v>98</v>
      </c>
      <c r="S7" s="86" t="s">
        <v>99</v>
      </c>
      <c r="T7" s="86" t="s">
        <v>24</v>
      </c>
      <c r="U7" s="86">
        <v>1</v>
      </c>
      <c r="V7" s="86" t="s">
        <v>100</v>
      </c>
      <c r="W7" s="86"/>
      <c r="X7" s="86" t="s">
        <v>101</v>
      </c>
    </row>
    <row r="8" spans="2:25" ht="62.25" customHeight="1">
      <c r="B8" s="86" t="s">
        <v>102</v>
      </c>
      <c r="C8" s="86" t="s">
        <v>103</v>
      </c>
      <c r="D8" s="87" t="str">
        <f>IFERROR(VLOOKUP(C8,HiddenSheet!$C$256:$D$257,2,FALSE()),"")</f>
        <v/>
      </c>
      <c r="E8" s="86"/>
      <c r="H8" s="88">
        <v>4</v>
      </c>
      <c r="I8" s="88">
        <v>7</v>
      </c>
      <c r="J8" s="88">
        <v>10</v>
      </c>
      <c r="K8" s="86" t="s">
        <v>94</v>
      </c>
      <c r="L8" s="88">
        <v>4</v>
      </c>
      <c r="M8" s="88">
        <v>32</v>
      </c>
      <c r="N8" s="88" t="s">
        <v>95</v>
      </c>
      <c r="O8" s="88" t="s">
        <v>96</v>
      </c>
      <c r="P8" s="86">
        <v>2E-3</v>
      </c>
      <c r="Q8" s="86" t="s">
        <v>104</v>
      </c>
      <c r="R8" s="86" t="s">
        <v>105</v>
      </c>
      <c r="S8" s="86" t="s">
        <v>106</v>
      </c>
      <c r="T8" s="86" t="s">
        <v>24</v>
      </c>
      <c r="U8" s="86">
        <v>2</v>
      </c>
      <c r="V8" s="86" t="s">
        <v>100</v>
      </c>
      <c r="W8" s="86" t="s">
        <v>107</v>
      </c>
      <c r="X8" s="86" t="s">
        <v>108</v>
      </c>
    </row>
    <row r="9" spans="2:25" ht="39.75" customHeight="1">
      <c r="B9" s="86" t="s">
        <v>109</v>
      </c>
      <c r="C9" s="88">
        <v>34</v>
      </c>
      <c r="D9" s="89" t="s">
        <v>110</v>
      </c>
      <c r="E9" s="86"/>
      <c r="G9" s="90"/>
      <c r="H9" s="88">
        <v>5</v>
      </c>
      <c r="I9" s="88">
        <v>11</v>
      </c>
      <c r="J9" s="88">
        <v>14</v>
      </c>
      <c r="K9" s="86" t="s">
        <v>94</v>
      </c>
      <c r="L9" s="88">
        <v>4</v>
      </c>
      <c r="M9" s="88">
        <v>32</v>
      </c>
      <c r="N9" s="88" t="s">
        <v>95</v>
      </c>
      <c r="O9" s="88" t="s">
        <v>96</v>
      </c>
      <c r="P9" s="86">
        <v>2E-3</v>
      </c>
      <c r="Q9" s="86">
        <v>1</v>
      </c>
      <c r="R9" s="86" t="s">
        <v>105</v>
      </c>
      <c r="S9" s="86" t="s">
        <v>106</v>
      </c>
      <c r="T9" s="86" t="s">
        <v>24</v>
      </c>
      <c r="U9" s="86">
        <v>3</v>
      </c>
      <c r="V9" s="86" t="s">
        <v>100</v>
      </c>
      <c r="W9" s="86" t="s">
        <v>107</v>
      </c>
      <c r="X9" s="86" t="s">
        <v>111</v>
      </c>
    </row>
    <row r="10" spans="2:25" ht="53.25" customHeight="1">
      <c r="B10" s="86" t="s">
        <v>112</v>
      </c>
      <c r="C10" s="91" t="s">
        <v>85</v>
      </c>
      <c r="D10" s="92" t="s">
        <v>113</v>
      </c>
      <c r="E10" s="91"/>
      <c r="F10" s="90"/>
      <c r="G10" s="90"/>
      <c r="H10" s="88">
        <v>6</v>
      </c>
      <c r="I10" s="88">
        <v>15</v>
      </c>
      <c r="J10" s="88">
        <v>16</v>
      </c>
      <c r="K10" s="86" t="s">
        <v>94</v>
      </c>
      <c r="L10" s="88">
        <v>2</v>
      </c>
      <c r="M10" s="88">
        <v>16</v>
      </c>
      <c r="N10" s="88" t="s">
        <v>83</v>
      </c>
      <c r="O10" s="88" t="s">
        <v>96</v>
      </c>
      <c r="P10" s="86">
        <v>5000</v>
      </c>
      <c r="Q10" s="86">
        <v>25000</v>
      </c>
      <c r="R10" s="86" t="s">
        <v>114</v>
      </c>
      <c r="S10" s="86" t="s">
        <v>115</v>
      </c>
      <c r="T10" s="86" t="s">
        <v>24</v>
      </c>
      <c r="U10" s="86">
        <v>4</v>
      </c>
      <c r="V10" s="86" t="s">
        <v>100</v>
      </c>
      <c r="W10" s="86" t="s">
        <v>107</v>
      </c>
      <c r="X10" s="86" t="s">
        <v>116</v>
      </c>
    </row>
    <row r="11" spans="2:25" ht="36" customHeight="1">
      <c r="B11" s="86" t="s">
        <v>117</v>
      </c>
      <c r="C11" s="91"/>
      <c r="D11" s="89" t="s">
        <v>118</v>
      </c>
      <c r="E11" s="91"/>
      <c r="F11" s="90"/>
      <c r="G11" s="90"/>
      <c r="H11" s="88">
        <v>7</v>
      </c>
      <c r="I11" s="88">
        <v>17</v>
      </c>
      <c r="J11" s="88">
        <v>17</v>
      </c>
      <c r="K11" s="86" t="s">
        <v>94</v>
      </c>
      <c r="L11" s="88">
        <v>1</v>
      </c>
      <c r="M11" s="88">
        <v>8</v>
      </c>
      <c r="N11" s="88" t="s">
        <v>83</v>
      </c>
      <c r="O11" s="88" t="s">
        <v>96</v>
      </c>
      <c r="P11" s="86">
        <v>2</v>
      </c>
      <c r="Q11" s="86">
        <v>40</v>
      </c>
      <c r="R11" s="86">
        <v>2</v>
      </c>
      <c r="S11" s="86">
        <v>28</v>
      </c>
      <c r="T11" s="86" t="s">
        <v>24</v>
      </c>
      <c r="U11" s="86">
        <v>5</v>
      </c>
      <c r="V11" s="86" t="s">
        <v>100</v>
      </c>
      <c r="W11" s="86" t="s">
        <v>107</v>
      </c>
      <c r="X11" s="86" t="s">
        <v>119</v>
      </c>
    </row>
    <row r="12" spans="2:25" ht="66" customHeight="1">
      <c r="B12" s="88" t="s">
        <v>120</v>
      </c>
      <c r="C12" s="91" t="s">
        <v>85</v>
      </c>
      <c r="D12" s="89" t="s">
        <v>121</v>
      </c>
      <c r="E12" s="91"/>
      <c r="F12" s="90"/>
      <c r="G12" s="90"/>
      <c r="H12" s="88">
        <v>8</v>
      </c>
      <c r="I12" s="88">
        <v>18</v>
      </c>
      <c r="J12" s="88">
        <v>21</v>
      </c>
      <c r="K12" s="86" t="s">
        <v>94</v>
      </c>
      <c r="L12" s="88">
        <v>4</v>
      </c>
      <c r="M12" s="88">
        <v>32</v>
      </c>
      <c r="N12" s="88" t="s">
        <v>95</v>
      </c>
      <c r="O12" s="88" t="s">
        <v>96</v>
      </c>
      <c r="P12" s="86">
        <v>0.01</v>
      </c>
      <c r="Q12" s="86">
        <v>0.5</v>
      </c>
      <c r="R12" s="86" t="s">
        <v>122</v>
      </c>
      <c r="S12" s="86" t="s">
        <v>123</v>
      </c>
      <c r="T12" s="86" t="s">
        <v>24</v>
      </c>
      <c r="U12" s="86">
        <v>6</v>
      </c>
      <c r="V12" s="86" t="s">
        <v>100</v>
      </c>
      <c r="W12" s="86" t="s">
        <v>107</v>
      </c>
      <c r="X12" s="86" t="s">
        <v>124</v>
      </c>
    </row>
    <row r="13" spans="2:25" ht="30" customHeight="1">
      <c r="B13" s="93"/>
      <c r="C13" s="90"/>
      <c r="E13" s="90"/>
      <c r="F13" s="90"/>
      <c r="G13" s="90"/>
      <c r="H13" s="88">
        <v>9</v>
      </c>
      <c r="I13" s="88">
        <v>22</v>
      </c>
      <c r="J13" s="88">
        <v>25</v>
      </c>
      <c r="K13" s="86" t="s">
        <v>94</v>
      </c>
      <c r="L13" s="88">
        <v>4</v>
      </c>
      <c r="M13" s="88">
        <v>32</v>
      </c>
      <c r="N13" s="88" t="s">
        <v>95</v>
      </c>
      <c r="O13" s="88" t="s">
        <v>96</v>
      </c>
      <c r="P13" s="86">
        <v>0.2</v>
      </c>
      <c r="Q13" s="86">
        <v>3</v>
      </c>
      <c r="R13" s="86" t="s">
        <v>125</v>
      </c>
      <c r="S13" s="86">
        <v>40400000</v>
      </c>
      <c r="T13" s="86" t="s">
        <v>24</v>
      </c>
      <c r="U13" s="86">
        <v>7</v>
      </c>
      <c r="V13" s="86" t="s">
        <v>100</v>
      </c>
      <c r="W13" s="86" t="s">
        <v>107</v>
      </c>
      <c r="X13" s="86" t="s">
        <v>126</v>
      </c>
    </row>
    <row r="14" spans="2:25" ht="30" customHeight="1">
      <c r="B14" s="93"/>
      <c r="C14" s="90"/>
      <c r="E14" s="90"/>
      <c r="F14" s="90"/>
      <c r="G14" s="90"/>
      <c r="H14" s="88">
        <v>10</v>
      </c>
      <c r="I14" s="88">
        <v>26</v>
      </c>
      <c r="J14" s="88">
        <v>27</v>
      </c>
      <c r="K14" s="86" t="s">
        <v>94</v>
      </c>
      <c r="L14" s="88">
        <v>2</v>
      </c>
      <c r="M14" s="88">
        <v>16</v>
      </c>
      <c r="N14" s="88" t="s">
        <v>83</v>
      </c>
      <c r="O14" s="88" t="s">
        <v>96</v>
      </c>
      <c r="P14" s="86">
        <v>250</v>
      </c>
      <c r="Q14" s="86">
        <v>300</v>
      </c>
      <c r="R14" s="86" t="s">
        <v>127</v>
      </c>
      <c r="S14" s="86" t="s">
        <v>128</v>
      </c>
      <c r="T14" s="86" t="s">
        <v>24</v>
      </c>
      <c r="U14" s="86">
        <v>8</v>
      </c>
      <c r="V14" s="86" t="s">
        <v>100</v>
      </c>
      <c r="W14" s="86" t="s">
        <v>107</v>
      </c>
      <c r="X14" s="86" t="s">
        <v>129</v>
      </c>
    </row>
    <row r="15" spans="2:25" ht="30" customHeight="1">
      <c r="B15" s="93"/>
      <c r="C15" s="90"/>
      <c r="E15" s="90"/>
      <c r="F15" s="90"/>
      <c r="G15" s="90"/>
      <c r="H15" s="88">
        <v>11</v>
      </c>
      <c r="I15" s="88">
        <v>28</v>
      </c>
      <c r="J15" s="88">
        <v>29</v>
      </c>
      <c r="K15" s="86" t="s">
        <v>94</v>
      </c>
      <c r="L15" s="88">
        <v>2</v>
      </c>
      <c r="M15" s="88">
        <v>16</v>
      </c>
      <c r="N15" s="88" t="s">
        <v>83</v>
      </c>
      <c r="O15" s="88" t="s">
        <v>96</v>
      </c>
      <c r="P15" s="86">
        <v>250</v>
      </c>
      <c r="Q15" s="86">
        <v>3000</v>
      </c>
      <c r="R15" s="86" t="s">
        <v>127</v>
      </c>
      <c r="S15" s="86" t="s">
        <v>130</v>
      </c>
      <c r="T15" s="86" t="s">
        <v>24</v>
      </c>
      <c r="U15" s="86">
        <v>9</v>
      </c>
      <c r="V15" s="86" t="s">
        <v>100</v>
      </c>
      <c r="W15" s="86" t="s">
        <v>107</v>
      </c>
      <c r="X15" s="86" t="s">
        <v>131</v>
      </c>
    </row>
    <row r="16" spans="2:25" ht="30" customHeight="1">
      <c r="B16" s="93"/>
      <c r="C16" s="90"/>
      <c r="E16" s="90"/>
      <c r="F16" s="90"/>
      <c r="G16" s="90"/>
      <c r="H16" s="88">
        <v>12</v>
      </c>
      <c r="I16" s="88">
        <v>30</v>
      </c>
      <c r="J16" s="88">
        <v>31</v>
      </c>
      <c r="K16" s="86" t="s">
        <v>94</v>
      </c>
      <c r="L16" s="88">
        <v>2</v>
      </c>
      <c r="M16" s="88">
        <v>16</v>
      </c>
      <c r="N16" s="88" t="s">
        <v>83</v>
      </c>
      <c r="O16" s="88" t="s">
        <v>96</v>
      </c>
      <c r="P16" s="86">
        <v>100</v>
      </c>
      <c r="Q16" s="86">
        <v>2000</v>
      </c>
      <c r="R16" s="86">
        <v>64</v>
      </c>
      <c r="S16" s="86" t="s">
        <v>132</v>
      </c>
      <c r="T16" s="86" t="s">
        <v>24</v>
      </c>
      <c r="U16" s="86">
        <v>10</v>
      </c>
      <c r="V16" s="86" t="s">
        <v>100</v>
      </c>
      <c r="W16" s="86" t="s">
        <v>107</v>
      </c>
      <c r="X16" s="86" t="s">
        <v>133</v>
      </c>
    </row>
    <row r="17" spans="2:24" ht="30" customHeight="1">
      <c r="B17" s="93"/>
      <c r="C17" s="90"/>
      <c r="E17" s="90"/>
      <c r="F17" s="90"/>
      <c r="G17" s="90"/>
      <c r="H17" s="88">
        <v>13</v>
      </c>
      <c r="I17" s="88">
        <v>32</v>
      </c>
      <c r="J17" s="88">
        <v>32</v>
      </c>
      <c r="K17" s="86" t="s">
        <v>94</v>
      </c>
      <c r="L17" s="88">
        <v>1</v>
      </c>
      <c r="M17" s="88">
        <v>8</v>
      </c>
      <c r="N17" s="88" t="s">
        <v>83</v>
      </c>
      <c r="O17" s="88" t="s">
        <v>96</v>
      </c>
      <c r="P17" s="86">
        <v>1</v>
      </c>
      <c r="Q17" s="86">
        <v>50</v>
      </c>
      <c r="R17" s="86">
        <v>1</v>
      </c>
      <c r="S17" s="86">
        <v>32</v>
      </c>
      <c r="T17" s="86" t="s">
        <v>24</v>
      </c>
      <c r="U17" s="86">
        <v>11</v>
      </c>
      <c r="V17" s="86" t="s">
        <v>100</v>
      </c>
      <c r="W17" s="86" t="s">
        <v>107</v>
      </c>
      <c r="X17" s="86" t="s">
        <v>134</v>
      </c>
    </row>
    <row r="18" spans="2:24">
      <c r="H18" s="88">
        <v>14</v>
      </c>
      <c r="I18" s="86">
        <v>33</v>
      </c>
      <c r="J18" s="86">
        <v>33</v>
      </c>
      <c r="K18" s="86" t="s">
        <v>94</v>
      </c>
      <c r="L18" s="88">
        <v>1</v>
      </c>
      <c r="M18" s="88">
        <v>8</v>
      </c>
      <c r="N18" s="88" t="s">
        <v>83</v>
      </c>
      <c r="O18" s="88" t="s">
        <v>96</v>
      </c>
      <c r="P18" s="86">
        <v>1</v>
      </c>
      <c r="Q18" s="86">
        <v>40</v>
      </c>
      <c r="R18" s="86">
        <v>1</v>
      </c>
      <c r="S18" s="86">
        <v>28</v>
      </c>
      <c r="T18" s="86" t="s">
        <v>24</v>
      </c>
      <c r="U18" s="86">
        <v>12</v>
      </c>
      <c r="V18" s="86" t="s">
        <v>100</v>
      </c>
      <c r="W18" s="86" t="s">
        <v>107</v>
      </c>
      <c r="X18" s="86" t="s">
        <v>135</v>
      </c>
    </row>
    <row r="19" spans="2:24">
      <c r="H19" s="88">
        <v>15</v>
      </c>
      <c r="I19" s="86">
        <v>34</v>
      </c>
      <c r="J19" s="86">
        <v>34</v>
      </c>
      <c r="K19" s="86" t="s">
        <v>136</v>
      </c>
      <c r="L19" s="88">
        <v>1</v>
      </c>
      <c r="M19" s="88">
        <v>8</v>
      </c>
      <c r="N19" s="88" t="s">
        <v>83</v>
      </c>
      <c r="O19" s="88" t="s">
        <v>84</v>
      </c>
      <c r="P19" s="86" t="s">
        <v>85</v>
      </c>
      <c r="Q19" s="86" t="s">
        <v>85</v>
      </c>
      <c r="R19" s="86" t="s">
        <v>137</v>
      </c>
      <c r="S19" s="86" t="s">
        <v>137</v>
      </c>
      <c r="T19" s="86"/>
      <c r="U19" s="86"/>
      <c r="V19" s="86"/>
      <c r="W19" s="86"/>
      <c r="X19" s="86"/>
    </row>
    <row r="20" spans="2:24">
      <c r="B20" s="93"/>
      <c r="C20" s="93"/>
      <c r="D20" s="94"/>
      <c r="G20" s="93"/>
      <c r="H20" s="93"/>
      <c r="I20" s="93"/>
    </row>
    <row r="21" spans="2:24">
      <c r="B21" s="93"/>
      <c r="C21" s="93"/>
      <c r="D21" s="94"/>
      <c r="G21" s="93"/>
      <c r="H21" s="93"/>
      <c r="I21" s="93"/>
    </row>
    <row r="22" spans="2:24">
      <c r="B22" s="93"/>
      <c r="C22" s="93"/>
      <c r="D22" s="94"/>
      <c r="G22" s="93"/>
      <c r="H22" s="93"/>
      <c r="K22" s="95"/>
      <c r="M22" s="93"/>
      <c r="N22" s="93"/>
    </row>
    <row r="23" spans="2:24">
      <c r="B23" s="93"/>
      <c r="C23" s="93"/>
      <c r="D23" s="94"/>
      <c r="G23" s="93"/>
      <c r="H23" s="93"/>
      <c r="M23" s="93"/>
      <c r="N23" s="93"/>
    </row>
    <row r="24" spans="2:24">
      <c r="B24" s="93"/>
      <c r="C24" s="93"/>
      <c r="D24" s="94"/>
      <c r="G24" s="93"/>
      <c r="H24" s="93"/>
      <c r="M24" s="93"/>
      <c r="N24" s="93"/>
    </row>
    <row r="25" spans="2:24">
      <c r="B25" s="93"/>
      <c r="C25" s="93"/>
      <c r="D25" s="94"/>
      <c r="G25" s="93"/>
      <c r="H25" s="93"/>
      <c r="M25" s="93"/>
      <c r="N25" s="93"/>
    </row>
    <row r="26" spans="2:24">
      <c r="B26" s="93"/>
      <c r="C26" s="93"/>
      <c r="D26" s="94"/>
      <c r="G26" s="93"/>
      <c r="H26" s="93"/>
      <c r="M26" s="93"/>
      <c r="N26" s="93"/>
    </row>
    <row r="27" spans="2:24">
      <c r="B27" s="93"/>
      <c r="C27" s="93"/>
      <c r="D27" s="94"/>
      <c r="G27" s="93"/>
      <c r="H27" s="93"/>
      <c r="M27" s="93"/>
      <c r="N27" s="93"/>
    </row>
    <row r="28" spans="2:24">
      <c r="B28" s="93"/>
      <c r="C28" s="93"/>
      <c r="D28" s="94"/>
      <c r="G28" s="93"/>
      <c r="H28" s="93"/>
      <c r="M28" s="93"/>
      <c r="N28" s="93"/>
    </row>
    <row r="29" spans="2:24">
      <c r="B29" s="93"/>
      <c r="C29" s="93"/>
      <c r="D29" s="94"/>
      <c r="G29" s="93"/>
      <c r="H29" s="93"/>
      <c r="M29" s="93"/>
      <c r="N29" s="93"/>
    </row>
    <row r="30" spans="2:24">
      <c r="B30" s="93"/>
      <c r="C30" s="93"/>
      <c r="D30" s="94"/>
      <c r="G30" s="93"/>
      <c r="H30" s="93"/>
      <c r="M30" s="93"/>
      <c r="N30" s="93"/>
    </row>
    <row r="31" spans="2:24">
      <c r="B31" s="93"/>
      <c r="C31" s="93"/>
      <c r="D31" s="94"/>
      <c r="G31" s="93"/>
      <c r="H31" s="93"/>
      <c r="M31" s="93"/>
      <c r="N31" s="93"/>
    </row>
    <row r="32" spans="2:24">
      <c r="B32" s="93"/>
      <c r="C32" s="93"/>
      <c r="D32" s="94"/>
      <c r="G32" s="93"/>
      <c r="H32" s="93"/>
      <c r="M32" s="93"/>
      <c r="N32" s="93"/>
    </row>
    <row r="33" spans="2:14">
      <c r="C33" s="93"/>
      <c r="D33" s="94"/>
      <c r="G33" s="93"/>
      <c r="H33" s="93"/>
      <c r="M33" s="93"/>
      <c r="N33" s="93"/>
    </row>
    <row r="34" spans="2:14">
      <c r="C34" s="93"/>
      <c r="D34" s="94"/>
      <c r="G34" s="93"/>
      <c r="H34" s="93"/>
      <c r="M34" s="93"/>
      <c r="N34" s="93"/>
    </row>
    <row r="35" spans="2:14">
      <c r="B35" s="93"/>
      <c r="C35" s="93"/>
    </row>
    <row r="36" spans="2:14">
      <c r="B36" s="93"/>
      <c r="C36" s="93"/>
    </row>
    <row r="37" spans="2:14">
      <c r="B37" s="93"/>
      <c r="C37" s="93"/>
    </row>
    <row r="38" spans="2:14">
      <c r="B38" s="93"/>
      <c r="C38" s="93"/>
    </row>
    <row r="39" spans="2:14">
      <c r="B39" s="93"/>
      <c r="C39" s="93"/>
    </row>
    <row r="40" spans="2:14">
      <c r="B40" s="93"/>
      <c r="C40" s="93"/>
    </row>
    <row r="41" spans="2:14">
      <c r="B41" s="93"/>
      <c r="C41" s="93"/>
    </row>
    <row r="42" spans="2:14">
      <c r="B42" s="93"/>
      <c r="C42" s="93"/>
    </row>
    <row r="43" spans="2:14">
      <c r="B43" s="93"/>
      <c r="C43" s="93"/>
    </row>
    <row r="44" spans="2:14">
      <c r="B44" s="93"/>
      <c r="C44" s="93"/>
    </row>
    <row r="45" spans="2:14">
      <c r="B45" s="93"/>
    </row>
    <row r="66" spans="1:24">
      <c r="B66" s="84" t="s">
        <v>138</v>
      </c>
    </row>
    <row r="71" spans="1:24">
      <c r="B71" s="85" t="s">
        <v>61</v>
      </c>
      <c r="C71" s="85" t="s">
        <v>62</v>
      </c>
      <c r="D71" s="85" t="s">
        <v>63</v>
      </c>
      <c r="E71" s="85" t="s">
        <v>5</v>
      </c>
      <c r="H71" s="85" t="s">
        <v>64</v>
      </c>
      <c r="I71" s="85" t="s">
        <v>65</v>
      </c>
      <c r="J71" s="85" t="s">
        <v>66</v>
      </c>
      <c r="K71" s="85" t="s">
        <v>68</v>
      </c>
      <c r="L71" s="85" t="s">
        <v>69</v>
      </c>
      <c r="M71" s="85" t="s">
        <v>70</v>
      </c>
      <c r="N71" s="85" t="s">
        <v>71</v>
      </c>
      <c r="O71" s="85" t="s">
        <v>67</v>
      </c>
      <c r="P71" s="85" t="s">
        <v>72</v>
      </c>
      <c r="Q71" s="85" t="s">
        <v>73</v>
      </c>
      <c r="R71" s="85" t="s">
        <v>74</v>
      </c>
      <c r="S71" s="85" t="s">
        <v>75</v>
      </c>
      <c r="T71" s="85" t="s">
        <v>76</v>
      </c>
      <c r="U71" s="85" t="s">
        <v>77</v>
      </c>
      <c r="V71" s="85" t="s">
        <v>78</v>
      </c>
      <c r="W71" s="85" t="s">
        <v>79</v>
      </c>
      <c r="X71" s="85" t="s">
        <v>5</v>
      </c>
    </row>
    <row r="72" spans="1:24">
      <c r="B72" s="89" t="s">
        <v>62</v>
      </c>
      <c r="C72" s="89" t="s">
        <v>80</v>
      </c>
      <c r="D72" s="87" t="str">
        <f>IFERROR(VLOOKUP(C72,HiddenSheet!$H$4:$N$35,7,FALSE()),"")</f>
        <v>Reserved for additional parameters or miscellaneous settings.</v>
      </c>
      <c r="E72" s="89" t="s">
        <v>139</v>
      </c>
      <c r="H72" s="88">
        <v>1</v>
      </c>
      <c r="I72" s="88">
        <v>1</v>
      </c>
      <c r="J72" s="88">
        <v>1</v>
      </c>
      <c r="K72" s="88">
        <v>1</v>
      </c>
      <c r="L72" s="88">
        <v>8</v>
      </c>
      <c r="M72" s="88" t="s">
        <v>83</v>
      </c>
      <c r="N72" s="88" t="s">
        <v>84</v>
      </c>
      <c r="O72" s="86" t="s">
        <v>82</v>
      </c>
      <c r="P72" s="86" t="s">
        <v>85</v>
      </c>
      <c r="Q72" s="86" t="s">
        <v>85</v>
      </c>
      <c r="R72" s="86" t="s">
        <v>86</v>
      </c>
      <c r="S72" s="86" t="s">
        <v>86</v>
      </c>
      <c r="T72" s="86"/>
      <c r="U72" s="86"/>
      <c r="V72" s="86"/>
      <c r="W72" s="86"/>
      <c r="X72" s="86"/>
    </row>
    <row r="73" spans="1:24" ht="39.75" customHeight="1">
      <c r="B73" s="89" t="s">
        <v>87</v>
      </c>
      <c r="C73" s="89" t="s">
        <v>140</v>
      </c>
      <c r="D73" s="87" t="str">
        <f>IFERROR(VLOOKUP(C73,HiddenSheet!$B$277:$C$291,2,FALSE()),"")</f>
        <v>Indicates no user interface element is associated with this parameter, possibly used for internal or system-level parameters not exposed to the user.</v>
      </c>
      <c r="E73" s="89"/>
      <c r="H73" s="88">
        <v>2</v>
      </c>
      <c r="I73" s="88">
        <v>2</v>
      </c>
      <c r="J73" s="88">
        <v>2</v>
      </c>
      <c r="K73" s="88">
        <v>1</v>
      </c>
      <c r="L73" s="88">
        <v>8</v>
      </c>
      <c r="M73" s="88" t="s">
        <v>83</v>
      </c>
      <c r="N73" s="88" t="s">
        <v>84</v>
      </c>
      <c r="O73" s="86" t="s">
        <v>89</v>
      </c>
      <c r="P73" s="86" t="s">
        <v>85</v>
      </c>
      <c r="Q73" s="86" t="s">
        <v>85</v>
      </c>
      <c r="R73" s="86" t="s">
        <v>90</v>
      </c>
      <c r="S73" s="86" t="s">
        <v>90</v>
      </c>
      <c r="T73" s="86"/>
      <c r="U73" s="86"/>
      <c r="V73" s="86"/>
      <c r="W73" s="86"/>
      <c r="X73" s="86"/>
    </row>
    <row r="74" spans="1:24" ht="43.5" customHeight="1">
      <c r="B74" s="89" t="s">
        <v>91</v>
      </c>
      <c r="C74" s="89" t="s">
        <v>141</v>
      </c>
      <c r="D74" s="87" t="str">
        <f>IFERROR(VLOOKUP(C74,HiddenSheet!$C$226:$D$268,2,FALSE()),"")</f>
        <v>This frame is a response from the target of the command, whether it's the device, server, or application, providing confirmation, requested data, or status updates.</v>
      </c>
      <c r="E74" s="89" t="s">
        <v>142</v>
      </c>
      <c r="H74" s="88">
        <v>3</v>
      </c>
      <c r="I74" s="88">
        <v>3</v>
      </c>
      <c r="J74" s="88">
        <v>3</v>
      </c>
      <c r="K74" s="88">
        <v>4</v>
      </c>
      <c r="L74" s="88">
        <v>8</v>
      </c>
      <c r="M74" s="88" t="s">
        <v>83</v>
      </c>
      <c r="N74" s="88" t="s">
        <v>96</v>
      </c>
      <c r="O74" s="86" t="s">
        <v>94</v>
      </c>
      <c r="P74" s="86">
        <v>0</v>
      </c>
      <c r="Q74" s="86">
        <v>1</v>
      </c>
      <c r="R74" s="86">
        <v>0</v>
      </c>
      <c r="S74" s="86">
        <v>1</v>
      </c>
      <c r="T74" s="86"/>
      <c r="U74" s="86"/>
      <c r="V74" s="86" t="s">
        <v>100</v>
      </c>
      <c r="W74" s="86"/>
      <c r="X74" s="86" t="s">
        <v>143</v>
      </c>
    </row>
    <row r="75" spans="1:24" ht="27" customHeight="1">
      <c r="B75" s="89" t="s">
        <v>102</v>
      </c>
      <c r="C75" s="89" t="s">
        <v>144</v>
      </c>
      <c r="D75" s="87" t="str">
        <f>IFERROR(VLOOKUP(C75,HiddenSheet!$C$256:$D$257,2,FALSE()),"")</f>
        <v/>
      </c>
      <c r="E75" s="89"/>
      <c r="H75" s="88">
        <v>4</v>
      </c>
      <c r="I75" s="88">
        <v>4</v>
      </c>
      <c r="J75" s="88">
        <v>4</v>
      </c>
      <c r="K75" s="88">
        <v>4</v>
      </c>
      <c r="L75" s="88">
        <v>8</v>
      </c>
      <c r="M75" s="88" t="s">
        <v>83</v>
      </c>
      <c r="N75" s="88" t="s">
        <v>96</v>
      </c>
      <c r="O75" s="86" t="s">
        <v>136</v>
      </c>
      <c r="P75" s="86" t="s">
        <v>85</v>
      </c>
      <c r="Q75" s="86" t="s">
        <v>85</v>
      </c>
      <c r="R75" s="86" t="s">
        <v>137</v>
      </c>
      <c r="S75" s="86" t="s">
        <v>145</v>
      </c>
      <c r="T75" s="86"/>
      <c r="U75" s="86"/>
      <c r="V75" s="86" t="s">
        <v>100</v>
      </c>
      <c r="W75" s="86" t="s">
        <v>107</v>
      </c>
      <c r="X75" s="86"/>
    </row>
    <row r="76" spans="1:24" ht="42" customHeight="1">
      <c r="B76" s="89" t="s">
        <v>109</v>
      </c>
      <c r="C76" s="97">
        <v>4</v>
      </c>
      <c r="D76" s="89" t="s">
        <v>110</v>
      </c>
      <c r="E76" s="89"/>
      <c r="F76" s="90"/>
      <c r="H76" s="88"/>
      <c r="I76" s="88"/>
      <c r="J76" s="88"/>
      <c r="K76" s="88"/>
      <c r="L76" s="88"/>
      <c r="M76" s="88"/>
      <c r="N76" s="88"/>
      <c r="O76" s="86"/>
      <c r="P76" s="86"/>
      <c r="Q76" s="86"/>
      <c r="R76" s="86"/>
      <c r="S76" s="86"/>
      <c r="T76" s="86"/>
      <c r="U76" s="86"/>
      <c r="V76" s="86"/>
      <c r="W76" s="86"/>
      <c r="X76" s="86"/>
    </row>
    <row r="77" spans="1:24" ht="30.75" customHeight="1">
      <c r="B77" s="89" t="s">
        <v>112</v>
      </c>
      <c r="C77" s="98" t="s">
        <v>85</v>
      </c>
      <c r="D77" s="92" t="s">
        <v>113</v>
      </c>
      <c r="E77" s="98"/>
      <c r="F77" s="90"/>
      <c r="H77" s="88"/>
      <c r="I77" s="88"/>
      <c r="J77" s="88"/>
      <c r="K77" s="88"/>
      <c r="L77" s="88"/>
      <c r="M77" s="88"/>
      <c r="N77" s="88"/>
      <c r="O77" s="86"/>
      <c r="P77" s="86"/>
      <c r="Q77" s="86"/>
      <c r="R77" s="86"/>
      <c r="S77" s="86"/>
      <c r="T77" s="86"/>
      <c r="U77" s="86"/>
      <c r="V77" s="86"/>
      <c r="W77" s="86"/>
      <c r="X77" s="86"/>
    </row>
    <row r="78" spans="1:24">
      <c r="B78" s="89" t="s">
        <v>117</v>
      </c>
      <c r="C78" s="98"/>
      <c r="D78" s="89" t="s">
        <v>118</v>
      </c>
      <c r="E78" s="98"/>
      <c r="F78" s="90"/>
      <c r="H78" s="88"/>
      <c r="I78" s="88"/>
      <c r="J78" s="88"/>
      <c r="K78" s="88"/>
      <c r="L78" s="88"/>
      <c r="M78" s="88"/>
      <c r="N78" s="88"/>
      <c r="O78" s="86"/>
      <c r="P78" s="86"/>
      <c r="Q78" s="86"/>
      <c r="R78" s="86"/>
      <c r="S78" s="86"/>
      <c r="T78" s="86"/>
      <c r="U78" s="86"/>
      <c r="V78" s="86"/>
      <c r="W78" s="86"/>
      <c r="X78" s="86"/>
    </row>
    <row r="79" spans="1:24">
      <c r="B79" s="97" t="s">
        <v>120</v>
      </c>
      <c r="C79" s="98" t="s">
        <v>85</v>
      </c>
      <c r="D79" s="89" t="s">
        <v>121</v>
      </c>
      <c r="E79" s="98"/>
      <c r="F79" s="90"/>
      <c r="H79" s="88"/>
      <c r="I79" s="88"/>
      <c r="J79" s="88"/>
      <c r="K79" s="88"/>
      <c r="L79" s="88"/>
      <c r="M79" s="88"/>
      <c r="N79" s="88"/>
      <c r="O79" s="86"/>
      <c r="P79" s="86"/>
      <c r="Q79" s="86"/>
      <c r="R79" s="86"/>
      <c r="S79" s="86"/>
      <c r="T79" s="86"/>
      <c r="U79" s="86"/>
      <c r="V79" s="86"/>
      <c r="W79" s="86"/>
      <c r="X79" s="86"/>
    </row>
    <row r="80" spans="1:24" ht="39" customHeight="1">
      <c r="A80" s="93"/>
      <c r="B80" s="90"/>
      <c r="C80" s="82"/>
      <c r="D80" s="90"/>
      <c r="E80" s="90"/>
      <c r="F80" s="90"/>
      <c r="H80" s="88"/>
      <c r="I80" s="88"/>
      <c r="J80" s="88"/>
      <c r="K80" s="88"/>
      <c r="L80" s="88"/>
      <c r="M80" s="88"/>
      <c r="N80" s="88"/>
      <c r="O80" s="86"/>
      <c r="P80" s="86"/>
      <c r="Q80" s="86"/>
      <c r="R80" s="86"/>
      <c r="S80" s="86"/>
      <c r="T80" s="86"/>
      <c r="U80" s="86"/>
      <c r="V80" s="86"/>
      <c r="W80" s="86"/>
      <c r="X80" s="86"/>
    </row>
    <row r="81" spans="1:24">
      <c r="A81" s="93"/>
      <c r="B81" s="90"/>
      <c r="C81" s="82"/>
      <c r="D81" s="90"/>
      <c r="E81" s="90"/>
      <c r="F81" s="90"/>
      <c r="H81" s="88"/>
      <c r="I81" s="88"/>
      <c r="J81" s="88"/>
      <c r="K81" s="88"/>
      <c r="L81" s="88"/>
      <c r="M81" s="88"/>
      <c r="N81" s="88"/>
      <c r="O81" s="86"/>
      <c r="P81" s="86"/>
      <c r="Q81" s="86"/>
      <c r="R81" s="86"/>
      <c r="S81" s="86"/>
      <c r="T81" s="86"/>
      <c r="U81" s="86"/>
      <c r="V81" s="86"/>
      <c r="W81" s="86"/>
      <c r="X81" s="86"/>
    </row>
    <row r="82" spans="1:24">
      <c r="A82" s="93"/>
      <c r="B82" s="90"/>
      <c r="C82" s="82"/>
      <c r="D82" s="90"/>
      <c r="E82" s="90"/>
      <c r="F82" s="90"/>
      <c r="H82" s="88"/>
      <c r="I82" s="88"/>
      <c r="J82" s="88"/>
      <c r="K82" s="88"/>
      <c r="L82" s="88"/>
      <c r="M82" s="88"/>
      <c r="N82" s="88"/>
      <c r="O82" s="86"/>
      <c r="P82" s="86"/>
      <c r="Q82" s="86"/>
      <c r="R82" s="86"/>
      <c r="S82" s="86"/>
      <c r="T82" s="86"/>
      <c r="U82" s="86"/>
      <c r="V82" s="86"/>
      <c r="W82" s="86"/>
      <c r="X82" s="86"/>
    </row>
    <row r="83" spans="1:24">
      <c r="A83" s="93"/>
      <c r="B83" s="90"/>
      <c r="C83" s="82"/>
      <c r="D83" s="90"/>
      <c r="E83" s="90"/>
      <c r="F83" s="90"/>
      <c r="H83" s="88"/>
      <c r="I83" s="88"/>
      <c r="J83" s="88"/>
      <c r="K83" s="88"/>
      <c r="L83" s="88"/>
      <c r="M83" s="88"/>
      <c r="N83" s="88"/>
      <c r="O83" s="86"/>
      <c r="P83" s="86"/>
      <c r="Q83" s="86"/>
      <c r="R83" s="86"/>
      <c r="S83" s="86"/>
      <c r="T83" s="86"/>
      <c r="U83" s="86"/>
      <c r="V83" s="86"/>
      <c r="W83" s="86"/>
      <c r="X83" s="86"/>
    </row>
    <row r="84" spans="1:24">
      <c r="A84" s="93"/>
      <c r="B84" s="90"/>
      <c r="C84" s="82"/>
      <c r="D84" s="90"/>
      <c r="E84" s="90"/>
      <c r="F84" s="90"/>
      <c r="H84" s="88"/>
      <c r="I84" s="88"/>
      <c r="J84" s="88"/>
      <c r="K84" s="88"/>
      <c r="L84" s="88"/>
      <c r="M84" s="88"/>
      <c r="N84" s="88"/>
      <c r="O84" s="86"/>
      <c r="P84" s="86"/>
      <c r="Q84" s="86"/>
      <c r="R84" s="86"/>
      <c r="S84" s="86"/>
      <c r="T84" s="86"/>
      <c r="U84" s="86"/>
      <c r="V84" s="86"/>
      <c r="W84" s="86"/>
      <c r="X84" s="86"/>
    </row>
    <row r="85" spans="1:24" s="81" customFormat="1">
      <c r="C85" s="82"/>
      <c r="H85" s="88"/>
      <c r="I85" s="86"/>
      <c r="J85" s="86"/>
      <c r="K85" s="88"/>
      <c r="L85" s="88"/>
      <c r="M85" s="88"/>
      <c r="N85" s="88"/>
      <c r="O85" s="86"/>
      <c r="P85" s="86"/>
      <c r="Q85" s="86"/>
      <c r="R85" s="86"/>
      <c r="S85" s="86"/>
      <c r="T85" s="86"/>
      <c r="U85" s="86"/>
      <c r="V85" s="86"/>
      <c r="W85" s="86"/>
      <c r="X85" s="86"/>
    </row>
    <row r="86" spans="1:24" s="81" customFormat="1">
      <c r="C86" s="82"/>
      <c r="H86" s="88"/>
      <c r="I86" s="86"/>
      <c r="J86" s="86"/>
      <c r="K86" s="88"/>
      <c r="L86" s="88"/>
      <c r="M86" s="88"/>
      <c r="N86" s="88"/>
      <c r="O86" s="86"/>
      <c r="P86" s="86"/>
      <c r="Q86" s="86"/>
      <c r="R86" s="86"/>
      <c r="S86" s="86"/>
      <c r="T86" s="86"/>
      <c r="U86" s="86"/>
      <c r="V86" s="86"/>
      <c r="W86" s="86"/>
      <c r="X86" s="86"/>
    </row>
    <row r="87" spans="1:24">
      <c r="A87" s="93"/>
      <c r="B87" s="90"/>
      <c r="C87" s="82"/>
      <c r="D87" s="90"/>
      <c r="E87" s="90"/>
      <c r="F87" s="90"/>
      <c r="G87" s="93"/>
      <c r="H87" s="93"/>
      <c r="I87" s="93"/>
      <c r="K87" s="93"/>
      <c r="L87" s="93"/>
      <c r="Q87" s="93"/>
      <c r="R87" s="93"/>
    </row>
    <row r="88" spans="1:24">
      <c r="A88" s="93"/>
      <c r="B88" s="90"/>
      <c r="C88" s="82"/>
      <c r="D88" s="90"/>
      <c r="E88" s="90"/>
      <c r="F88" s="90"/>
      <c r="G88" s="93"/>
      <c r="H88" s="93"/>
      <c r="I88" s="93"/>
      <c r="K88" s="93"/>
      <c r="L88" s="93"/>
      <c r="Q88" s="93"/>
      <c r="R88" s="93"/>
    </row>
    <row r="89" spans="1:24">
      <c r="A89" s="93"/>
      <c r="B89" s="90"/>
      <c r="C89" s="82"/>
      <c r="D89" s="90"/>
      <c r="E89" s="90"/>
      <c r="F89" s="90"/>
      <c r="G89" s="93"/>
      <c r="H89" s="93"/>
      <c r="I89" s="93"/>
      <c r="K89" s="93"/>
      <c r="L89" s="93"/>
      <c r="Q89" s="93"/>
      <c r="R89" s="93"/>
    </row>
    <row r="90" spans="1:24" s="81" customFormat="1">
      <c r="C90" s="82"/>
      <c r="G90" s="93"/>
      <c r="K90" s="93"/>
      <c r="L90" s="93"/>
      <c r="Q90" s="93"/>
      <c r="R90" s="93"/>
    </row>
    <row r="91" spans="1:24" s="81" customFormat="1">
      <c r="C91" s="82"/>
      <c r="G91" s="93"/>
      <c r="K91" s="93"/>
      <c r="L91" s="93"/>
      <c r="Q91" s="93"/>
      <c r="R91" s="93"/>
    </row>
    <row r="105" spans="2:24">
      <c r="B105" s="84" t="s">
        <v>146</v>
      </c>
    </row>
    <row r="109" spans="2:24">
      <c r="B109" s="99"/>
    </row>
    <row r="110" spans="2:24">
      <c r="B110" s="99"/>
    </row>
    <row r="112" spans="2:24">
      <c r="B112" s="85" t="s">
        <v>61</v>
      </c>
      <c r="C112" s="85" t="s">
        <v>62</v>
      </c>
      <c r="D112" s="85" t="s">
        <v>63</v>
      </c>
      <c r="E112" s="85" t="s">
        <v>5</v>
      </c>
      <c r="H112" s="85" t="s">
        <v>64</v>
      </c>
      <c r="I112" s="85" t="s">
        <v>65</v>
      </c>
      <c r="J112" s="85" t="s">
        <v>66</v>
      </c>
      <c r="K112" s="85" t="s">
        <v>68</v>
      </c>
      <c r="L112" s="85" t="s">
        <v>69</v>
      </c>
      <c r="M112" s="85" t="s">
        <v>70</v>
      </c>
      <c r="N112" s="85" t="s">
        <v>71</v>
      </c>
      <c r="O112" s="85" t="s">
        <v>147</v>
      </c>
      <c r="P112" s="85" t="s">
        <v>72</v>
      </c>
      <c r="Q112" s="85" t="s">
        <v>73</v>
      </c>
      <c r="R112" s="85" t="s">
        <v>74</v>
      </c>
      <c r="S112" s="85" t="s">
        <v>75</v>
      </c>
      <c r="T112" s="85" t="s">
        <v>76</v>
      </c>
      <c r="U112" s="85" t="s">
        <v>77</v>
      </c>
      <c r="V112" s="85" t="s">
        <v>78</v>
      </c>
      <c r="W112" s="85" t="s">
        <v>79</v>
      </c>
      <c r="X112" s="85" t="s">
        <v>5</v>
      </c>
    </row>
    <row r="113" spans="1:24" ht="48" customHeight="1">
      <c r="B113" s="89" t="s">
        <v>62</v>
      </c>
      <c r="C113" s="89" t="s">
        <v>80</v>
      </c>
      <c r="D113" s="87" t="str">
        <f>IFERROR(VLOOKUP(C113,HiddenSheet!$H$4:$N$35,7,FALSE()),"")</f>
        <v>Reserved for additional parameters or miscellaneous settings.</v>
      </c>
      <c r="E113" s="89" t="s">
        <v>139</v>
      </c>
      <c r="H113" s="88">
        <v>1</v>
      </c>
      <c r="I113" s="88">
        <v>1</v>
      </c>
      <c r="J113" s="88">
        <v>1</v>
      </c>
      <c r="K113" s="88">
        <v>1</v>
      </c>
      <c r="L113" s="88">
        <v>8</v>
      </c>
      <c r="M113" s="88" t="s">
        <v>83</v>
      </c>
      <c r="N113" s="88" t="s">
        <v>84</v>
      </c>
      <c r="O113" s="86" t="s">
        <v>82</v>
      </c>
      <c r="P113" s="86" t="s">
        <v>85</v>
      </c>
      <c r="Q113" s="86" t="s">
        <v>85</v>
      </c>
      <c r="R113" s="86" t="s">
        <v>86</v>
      </c>
      <c r="S113" s="86" t="s">
        <v>86</v>
      </c>
      <c r="T113" s="86"/>
      <c r="U113" s="86"/>
      <c r="V113" s="86"/>
      <c r="W113" s="86"/>
      <c r="X113" s="86"/>
    </row>
    <row r="114" spans="1:24" ht="60.75" customHeight="1">
      <c r="B114" s="89" t="s">
        <v>87</v>
      </c>
      <c r="C114" s="89"/>
      <c r="D114" s="87" t="str">
        <f>IFERROR(VLOOKUP(C114,HiddenSheet!$B$277:$C$291,2,FALSE()),"")</f>
        <v/>
      </c>
      <c r="E114" s="89"/>
      <c r="H114" s="88">
        <v>2</v>
      </c>
      <c r="I114" s="88">
        <v>2</v>
      </c>
      <c r="J114" s="88">
        <v>2</v>
      </c>
      <c r="K114" s="88">
        <v>1</v>
      </c>
      <c r="L114" s="88">
        <v>8</v>
      </c>
      <c r="M114" s="88" t="s">
        <v>83</v>
      </c>
      <c r="N114" s="88" t="s">
        <v>84</v>
      </c>
      <c r="O114" s="86" t="s">
        <v>89</v>
      </c>
      <c r="P114" s="86" t="s">
        <v>85</v>
      </c>
      <c r="Q114" s="86" t="s">
        <v>85</v>
      </c>
      <c r="R114" s="86" t="s">
        <v>90</v>
      </c>
      <c r="S114" s="86" t="s">
        <v>90</v>
      </c>
      <c r="T114" s="86"/>
      <c r="U114" s="86"/>
      <c r="V114" s="86"/>
      <c r="W114" s="86"/>
      <c r="X114" s="86"/>
    </row>
    <row r="115" spans="1:24" ht="79.5" customHeight="1">
      <c r="B115" s="89" t="s">
        <v>91</v>
      </c>
      <c r="C115" s="89" t="s">
        <v>148</v>
      </c>
      <c r="D115" s="87" t="str">
        <f>IFERROR(VLOOKUP(C115,HiddenSheet!$C$226:$D$268,2,FALSE()),"")</f>
        <v>This frame is sent when an error is detected, indicating an issue or exception has occurred, and may include error codes or diagnostic details. It can originate from any participant in the communication process (application, server, or device).</v>
      </c>
      <c r="E115" s="89" t="s">
        <v>142</v>
      </c>
      <c r="H115" s="88">
        <v>3</v>
      </c>
      <c r="I115" s="88">
        <v>3</v>
      </c>
      <c r="J115" s="88">
        <v>3</v>
      </c>
      <c r="K115" s="88">
        <v>1</v>
      </c>
      <c r="L115" s="88">
        <v>8</v>
      </c>
      <c r="M115" s="88" t="s">
        <v>83</v>
      </c>
      <c r="N115" s="88" t="s">
        <v>96</v>
      </c>
      <c r="O115" s="86" t="s">
        <v>94</v>
      </c>
      <c r="P115" s="86" t="s">
        <v>85</v>
      </c>
      <c r="Q115" s="86" t="s">
        <v>85</v>
      </c>
      <c r="R115" s="86">
        <v>0</v>
      </c>
      <c r="S115" s="86" t="s">
        <v>149</v>
      </c>
      <c r="T115" s="86"/>
      <c r="U115" s="86">
        <v>1</v>
      </c>
      <c r="V115" s="86" t="s">
        <v>100</v>
      </c>
      <c r="W115" s="86"/>
      <c r="X115" s="86"/>
    </row>
    <row r="116" spans="1:24" ht="58.5" customHeight="1">
      <c r="B116" s="89" t="s">
        <v>102</v>
      </c>
      <c r="C116" s="89" t="s">
        <v>144</v>
      </c>
      <c r="D116" s="87" t="str">
        <f>IFERROR(VLOOKUP(C116,HiddenSheet!$C$256:$D$257,2,FALSE()),"")</f>
        <v/>
      </c>
      <c r="E116" s="89"/>
      <c r="H116" s="88">
        <v>4</v>
      </c>
      <c r="I116" s="88">
        <v>4</v>
      </c>
      <c r="J116" s="88">
        <v>4</v>
      </c>
      <c r="K116" s="88">
        <v>1</v>
      </c>
      <c r="L116" s="88">
        <v>8</v>
      </c>
      <c r="M116" s="88" t="s">
        <v>83</v>
      </c>
      <c r="N116" s="88" t="s">
        <v>84</v>
      </c>
      <c r="O116" s="86" t="s">
        <v>136</v>
      </c>
      <c r="P116" s="86" t="s">
        <v>85</v>
      </c>
      <c r="Q116" s="86" t="s">
        <v>85</v>
      </c>
      <c r="R116" s="86" t="s">
        <v>145</v>
      </c>
      <c r="S116" s="86" t="s">
        <v>145</v>
      </c>
      <c r="T116" s="86"/>
      <c r="U116" s="86">
        <v>2</v>
      </c>
      <c r="V116" s="86" t="s">
        <v>100</v>
      </c>
      <c r="W116" s="86" t="s">
        <v>107</v>
      </c>
      <c r="X116" s="86"/>
    </row>
    <row r="117" spans="1:24" ht="60" customHeight="1">
      <c r="B117" s="89" t="s">
        <v>109</v>
      </c>
      <c r="C117" s="97">
        <v>4</v>
      </c>
      <c r="D117" s="89" t="s">
        <v>110</v>
      </c>
      <c r="E117" s="89"/>
      <c r="F117" s="90"/>
      <c r="H117" s="88"/>
      <c r="I117" s="88"/>
      <c r="J117" s="88"/>
      <c r="K117" s="88"/>
      <c r="L117" s="88"/>
      <c r="M117" s="88"/>
      <c r="N117" s="88"/>
      <c r="O117" s="86"/>
      <c r="P117" s="86"/>
      <c r="Q117" s="86"/>
      <c r="R117" s="86"/>
      <c r="S117" s="86"/>
      <c r="T117" s="86"/>
      <c r="U117" s="86"/>
      <c r="V117" s="86"/>
      <c r="W117" s="86"/>
      <c r="X117" s="86"/>
    </row>
    <row r="118" spans="1:24">
      <c r="B118" s="89" t="s">
        <v>112</v>
      </c>
      <c r="C118" s="98" t="s">
        <v>85</v>
      </c>
      <c r="D118" s="92" t="s">
        <v>113</v>
      </c>
      <c r="E118" s="98"/>
      <c r="F118" s="90"/>
      <c r="H118" s="88"/>
      <c r="I118" s="88"/>
      <c r="J118" s="88"/>
      <c r="K118" s="88"/>
      <c r="L118" s="88"/>
      <c r="M118" s="88"/>
      <c r="N118" s="88"/>
      <c r="O118" s="86"/>
      <c r="P118" s="86"/>
      <c r="Q118" s="86"/>
      <c r="R118" s="86"/>
      <c r="S118" s="86"/>
      <c r="T118" s="86"/>
      <c r="U118" s="86"/>
      <c r="V118" s="86"/>
      <c r="W118" s="86"/>
      <c r="X118" s="86"/>
    </row>
    <row r="119" spans="1:24" ht="39" customHeight="1">
      <c r="B119" s="89" t="s">
        <v>117</v>
      </c>
      <c r="C119" s="98"/>
      <c r="D119" s="89" t="s">
        <v>118</v>
      </c>
      <c r="E119" s="98"/>
      <c r="F119" s="90"/>
      <c r="H119" s="88"/>
      <c r="I119" s="88"/>
      <c r="J119" s="88"/>
      <c r="K119" s="88"/>
      <c r="L119" s="88"/>
      <c r="M119" s="88"/>
      <c r="N119" s="88"/>
      <c r="O119" s="86"/>
      <c r="P119" s="86"/>
      <c r="Q119" s="86"/>
      <c r="R119" s="86"/>
      <c r="S119" s="86"/>
      <c r="T119" s="86"/>
      <c r="U119" s="86"/>
      <c r="V119" s="86"/>
      <c r="W119" s="86"/>
      <c r="X119" s="86"/>
    </row>
    <row r="120" spans="1:24" ht="51.75" customHeight="1">
      <c r="B120" s="97" t="s">
        <v>120</v>
      </c>
      <c r="C120" s="98" t="s">
        <v>85</v>
      </c>
      <c r="D120" s="89" t="s">
        <v>121</v>
      </c>
      <c r="E120" s="98"/>
      <c r="F120" s="90"/>
      <c r="H120" s="88"/>
      <c r="I120" s="88"/>
      <c r="J120" s="88"/>
      <c r="K120" s="88"/>
      <c r="L120" s="88"/>
      <c r="M120" s="88"/>
      <c r="N120" s="88"/>
      <c r="O120" s="86"/>
      <c r="P120" s="86"/>
      <c r="Q120" s="86"/>
      <c r="R120" s="86"/>
      <c r="S120" s="86"/>
      <c r="T120" s="86"/>
      <c r="U120" s="86"/>
      <c r="V120" s="86"/>
      <c r="W120" s="86"/>
      <c r="X120" s="86"/>
    </row>
    <row r="121" spans="1:24">
      <c r="A121" s="99"/>
      <c r="B121" s="90"/>
      <c r="C121" s="82"/>
      <c r="D121" s="90"/>
      <c r="E121" s="90"/>
      <c r="F121" s="90"/>
      <c r="H121" s="88"/>
      <c r="I121" s="88"/>
      <c r="J121" s="88"/>
      <c r="K121" s="88"/>
      <c r="L121" s="88"/>
      <c r="M121" s="88"/>
      <c r="N121" s="88"/>
      <c r="O121" s="86"/>
      <c r="P121" s="86"/>
      <c r="Q121" s="86"/>
      <c r="R121" s="86"/>
      <c r="S121" s="86"/>
      <c r="T121" s="86"/>
      <c r="U121" s="86"/>
      <c r="V121" s="86"/>
      <c r="W121" s="86"/>
      <c r="X121" s="86"/>
    </row>
    <row r="122" spans="1:24">
      <c r="B122" s="90"/>
      <c r="C122" s="82"/>
      <c r="D122" s="90"/>
      <c r="E122" s="90"/>
      <c r="F122" s="90"/>
      <c r="H122" s="88"/>
      <c r="I122" s="88"/>
      <c r="J122" s="88"/>
      <c r="K122" s="88"/>
      <c r="L122" s="88"/>
      <c r="M122" s="88"/>
      <c r="N122" s="88"/>
      <c r="O122" s="86"/>
      <c r="P122" s="86"/>
      <c r="Q122" s="86"/>
      <c r="R122" s="86"/>
      <c r="S122" s="86"/>
      <c r="T122" s="86"/>
      <c r="U122" s="86"/>
      <c r="V122" s="86"/>
      <c r="W122" s="86"/>
      <c r="X122" s="86"/>
    </row>
    <row r="123" spans="1:24">
      <c r="B123" s="90"/>
      <c r="C123" s="82"/>
      <c r="D123" s="90"/>
      <c r="E123" s="90"/>
      <c r="F123" s="90"/>
      <c r="H123" s="88"/>
      <c r="I123" s="88"/>
      <c r="J123" s="88"/>
      <c r="K123" s="88"/>
      <c r="L123" s="88"/>
      <c r="M123" s="88"/>
      <c r="N123" s="88"/>
      <c r="O123" s="86"/>
      <c r="P123" s="86"/>
      <c r="Q123" s="86"/>
      <c r="R123" s="86"/>
      <c r="S123" s="86"/>
      <c r="T123" s="86"/>
      <c r="U123" s="86"/>
      <c r="V123" s="86"/>
      <c r="W123" s="86"/>
      <c r="X123" s="86"/>
    </row>
    <row r="124" spans="1:24">
      <c r="B124" s="90"/>
      <c r="C124" s="82"/>
      <c r="D124" s="90"/>
      <c r="E124" s="90"/>
      <c r="F124" s="90"/>
      <c r="H124" s="88"/>
      <c r="I124" s="88"/>
      <c r="J124" s="88"/>
      <c r="K124" s="88"/>
      <c r="L124" s="88"/>
      <c r="M124" s="88"/>
      <c r="N124" s="88"/>
      <c r="O124" s="86"/>
      <c r="P124" s="86"/>
      <c r="Q124" s="86"/>
      <c r="R124" s="86"/>
      <c r="S124" s="86"/>
      <c r="T124" s="86"/>
      <c r="U124" s="86"/>
      <c r="V124" s="86"/>
      <c r="W124" s="86"/>
      <c r="X124" s="86"/>
    </row>
    <row r="125" spans="1:24">
      <c r="B125" s="90"/>
      <c r="C125" s="82"/>
      <c r="D125" s="90"/>
      <c r="E125" s="90"/>
      <c r="F125" s="90"/>
      <c r="H125" s="88"/>
      <c r="I125" s="88"/>
      <c r="J125" s="88"/>
      <c r="K125" s="88"/>
      <c r="L125" s="88"/>
      <c r="M125" s="88"/>
      <c r="N125" s="88"/>
      <c r="O125" s="86"/>
      <c r="P125" s="86"/>
      <c r="Q125" s="86"/>
      <c r="R125" s="86"/>
      <c r="S125" s="86"/>
      <c r="T125" s="86"/>
      <c r="U125" s="86"/>
      <c r="V125" s="86"/>
      <c r="W125" s="86"/>
      <c r="X125" s="86"/>
    </row>
    <row r="126" spans="1:24" s="81" customFormat="1">
      <c r="C126" s="82"/>
      <c r="H126" s="88"/>
      <c r="I126" s="86"/>
      <c r="J126" s="86"/>
      <c r="K126" s="88"/>
      <c r="L126" s="88"/>
      <c r="M126" s="88"/>
      <c r="N126" s="88"/>
      <c r="O126" s="86"/>
      <c r="P126" s="86"/>
      <c r="Q126" s="86"/>
      <c r="R126" s="86"/>
      <c r="S126" s="86"/>
      <c r="T126" s="86"/>
      <c r="U126" s="86"/>
      <c r="V126" s="86"/>
      <c r="W126" s="86"/>
      <c r="X126" s="86"/>
    </row>
    <row r="127" spans="1:24" s="81" customFormat="1">
      <c r="C127" s="82"/>
      <c r="H127" s="88"/>
      <c r="I127" s="86"/>
      <c r="J127" s="86"/>
      <c r="K127" s="88"/>
      <c r="L127" s="88"/>
      <c r="M127" s="88"/>
      <c r="N127" s="88"/>
      <c r="O127" s="86"/>
      <c r="P127" s="86"/>
      <c r="Q127" s="86"/>
      <c r="R127" s="86"/>
      <c r="S127" s="86"/>
      <c r="T127" s="86"/>
      <c r="U127" s="86"/>
      <c r="V127" s="86"/>
      <c r="W127" s="86"/>
      <c r="X127" s="86"/>
    </row>
    <row r="128" spans="1:24" s="81" customFormat="1">
      <c r="B128" s="93"/>
      <c r="C128" s="82"/>
      <c r="E128" s="90"/>
      <c r="F128" s="90"/>
      <c r="G128" s="93"/>
      <c r="H128" s="93"/>
      <c r="I128" s="93"/>
      <c r="K128" s="93"/>
      <c r="L128" s="93"/>
      <c r="Q128" s="93"/>
      <c r="R128" s="93"/>
    </row>
    <row r="129" spans="1:18">
      <c r="B129" s="90"/>
      <c r="C129" s="82"/>
      <c r="D129" s="90"/>
      <c r="E129" s="90"/>
      <c r="F129" s="90"/>
      <c r="G129" s="93"/>
      <c r="H129" s="93"/>
      <c r="I129" s="93"/>
      <c r="K129" s="93"/>
      <c r="L129" s="93"/>
      <c r="Q129" s="93"/>
      <c r="R129" s="93"/>
    </row>
    <row r="130" spans="1:18">
      <c r="B130" s="90"/>
      <c r="C130" s="82"/>
      <c r="D130" s="90"/>
      <c r="E130" s="90"/>
      <c r="F130" s="90"/>
      <c r="G130" s="93"/>
      <c r="H130" s="93"/>
      <c r="I130" s="93"/>
      <c r="K130" s="93"/>
      <c r="L130" s="93"/>
      <c r="Q130" s="93"/>
      <c r="R130" s="93"/>
    </row>
    <row r="131" spans="1:18">
      <c r="A131" s="93"/>
      <c r="B131" s="90"/>
      <c r="C131" s="82"/>
      <c r="D131" s="90"/>
      <c r="E131" s="90"/>
      <c r="F131" s="90"/>
      <c r="G131" s="93"/>
      <c r="H131" s="93"/>
      <c r="I131" s="93"/>
      <c r="K131" s="93"/>
      <c r="L131" s="93"/>
      <c r="Q131" s="93"/>
      <c r="R131" s="93"/>
    </row>
    <row r="132" spans="1:18">
      <c r="A132" s="93"/>
      <c r="B132" s="90"/>
      <c r="C132" s="82"/>
      <c r="D132" s="90"/>
      <c r="E132" s="90"/>
      <c r="F132" s="90"/>
      <c r="G132" s="93"/>
      <c r="H132" s="93"/>
      <c r="I132" s="93"/>
      <c r="K132" s="93"/>
      <c r="L132" s="93"/>
      <c r="Q132" s="93"/>
      <c r="R132" s="93"/>
    </row>
    <row r="133" spans="1:18">
      <c r="A133" s="93"/>
      <c r="B133" s="90"/>
      <c r="C133" s="82"/>
      <c r="D133" s="90"/>
      <c r="E133" s="90"/>
      <c r="F133" s="90"/>
      <c r="G133" s="93"/>
      <c r="H133" s="93"/>
      <c r="I133" s="93"/>
      <c r="K133" s="93"/>
      <c r="L133" s="93"/>
      <c r="Q133" s="93"/>
      <c r="R133" s="93"/>
    </row>
    <row r="134" spans="1:18">
      <c r="A134" s="93"/>
      <c r="B134" s="90"/>
      <c r="C134" s="82"/>
      <c r="D134" s="90"/>
      <c r="E134" s="90"/>
      <c r="F134" s="90"/>
      <c r="G134" s="93"/>
      <c r="H134" s="93"/>
      <c r="I134" s="93"/>
      <c r="K134" s="93"/>
      <c r="L134" s="93"/>
      <c r="Q134" s="93"/>
      <c r="R134" s="93"/>
    </row>
    <row r="135" spans="1:18">
      <c r="A135" s="93"/>
      <c r="B135" s="90"/>
      <c r="C135" s="82"/>
      <c r="D135" s="90"/>
      <c r="E135" s="90"/>
      <c r="F135" s="90"/>
      <c r="G135" s="93"/>
      <c r="H135" s="93"/>
      <c r="I135" s="93"/>
      <c r="K135" s="93"/>
      <c r="L135" s="93"/>
      <c r="Q135" s="93"/>
      <c r="R135" s="93"/>
    </row>
    <row r="136" spans="1:18">
      <c r="A136" s="93"/>
      <c r="B136" s="90"/>
      <c r="C136" s="82"/>
      <c r="D136" s="90"/>
      <c r="E136" s="90"/>
      <c r="F136" s="90"/>
      <c r="G136" s="93"/>
      <c r="H136" s="93"/>
      <c r="I136" s="93"/>
      <c r="K136" s="93"/>
      <c r="L136" s="93"/>
      <c r="Q136" s="93"/>
      <c r="R136" s="93"/>
    </row>
    <row r="137" spans="1:18" s="81" customFormat="1">
      <c r="C137" s="82"/>
      <c r="G137" s="93"/>
      <c r="K137" s="93"/>
      <c r="L137" s="93"/>
      <c r="Q137" s="93"/>
      <c r="R137" s="93"/>
    </row>
    <row r="138" spans="1:18" s="81" customFormat="1">
      <c r="C138" s="82"/>
      <c r="G138" s="93"/>
      <c r="K138" s="93"/>
      <c r="L138" s="93"/>
      <c r="Q138" s="93"/>
      <c r="R138" s="93"/>
    </row>
    <row r="234" spans="2:2">
      <c r="B234" s="99"/>
    </row>
    <row r="241" spans="2:10">
      <c r="C241" s="93"/>
      <c r="E241" s="90"/>
      <c r="F241" s="90"/>
      <c r="G241" s="90"/>
    </row>
    <row r="242" spans="2:10">
      <c r="B242" s="93"/>
      <c r="C242" s="90"/>
      <c r="D242" s="100"/>
      <c r="E242" s="90"/>
      <c r="F242" s="90"/>
      <c r="G242" s="90"/>
    </row>
    <row r="245" spans="2:10">
      <c r="B245" s="93"/>
      <c r="D245" s="94"/>
      <c r="E245" s="93"/>
      <c r="F245" s="93"/>
      <c r="G245" s="93"/>
      <c r="I245" s="93"/>
      <c r="J245" s="93"/>
    </row>
    <row r="246" spans="2:10">
      <c r="B246" s="93"/>
      <c r="D246" s="94"/>
      <c r="E246" s="93"/>
      <c r="F246" s="93"/>
      <c r="G246" s="93"/>
      <c r="I246" s="93"/>
      <c r="J246" s="93"/>
    </row>
    <row r="247" spans="2:10">
      <c r="B247" s="93"/>
      <c r="D247" s="94"/>
      <c r="E247" s="93"/>
      <c r="F247" s="93"/>
      <c r="G247" s="93"/>
      <c r="I247" s="93"/>
      <c r="J247" s="93"/>
    </row>
    <row r="248" spans="2:10">
      <c r="B248" s="93"/>
      <c r="D248" s="94"/>
      <c r="E248" s="93"/>
      <c r="F248" s="93"/>
      <c r="G248" s="93"/>
      <c r="I248" s="93"/>
      <c r="J248" s="93"/>
    </row>
    <row r="249" spans="2:10">
      <c r="B249" s="93"/>
      <c r="D249" s="94"/>
      <c r="E249" s="93"/>
      <c r="F249" s="93"/>
      <c r="G249" s="93"/>
      <c r="I249" s="93"/>
      <c r="J249" s="93"/>
    </row>
    <row r="250" spans="2:10">
      <c r="B250" s="93"/>
      <c r="D250" s="94"/>
      <c r="E250" s="93"/>
      <c r="F250" s="93"/>
      <c r="G250" s="93"/>
      <c r="I250" s="93"/>
      <c r="J250" s="93"/>
    </row>
    <row r="251" spans="2:10">
      <c r="B251" s="93"/>
      <c r="D251" s="94"/>
      <c r="E251" s="93"/>
      <c r="F251" s="93"/>
      <c r="G251" s="93"/>
      <c r="I251" s="93"/>
      <c r="J251" s="93"/>
    </row>
    <row r="252" spans="2:10">
      <c r="B252" s="93"/>
      <c r="D252" s="94"/>
      <c r="E252" s="93"/>
      <c r="F252" s="93"/>
      <c r="G252" s="93"/>
      <c r="I252" s="93"/>
      <c r="J252" s="93"/>
    </row>
    <row r="253" spans="2:10">
      <c r="B253" s="93"/>
      <c r="D253" s="94"/>
      <c r="E253" s="93"/>
      <c r="F253" s="93"/>
      <c r="G253" s="93"/>
      <c r="I253" s="93"/>
      <c r="J253" s="93"/>
    </row>
    <row r="254" spans="2:10">
      <c r="B254" s="93"/>
      <c r="D254" s="94"/>
      <c r="E254" s="93"/>
      <c r="F254" s="93"/>
      <c r="G254" s="93"/>
      <c r="I254" s="93"/>
      <c r="J254" s="93"/>
    </row>
    <row r="255" spans="2:10">
      <c r="B255" s="93"/>
      <c r="D255" s="94"/>
      <c r="E255" s="93"/>
      <c r="F255" s="93"/>
      <c r="G255" s="93"/>
      <c r="I255" s="93"/>
      <c r="J255" s="93"/>
    </row>
    <row r="256" spans="2:10">
      <c r="B256" s="93"/>
      <c r="D256" s="94"/>
      <c r="E256" s="93"/>
      <c r="F256" s="93"/>
      <c r="G256" s="93"/>
      <c r="I256" s="93"/>
      <c r="J256" s="93"/>
    </row>
    <row r="257" spans="2:10">
      <c r="B257" s="93"/>
      <c r="D257" s="94"/>
      <c r="E257" s="93"/>
      <c r="F257" s="93"/>
      <c r="G257" s="93"/>
      <c r="I257" s="93"/>
      <c r="J257" s="93"/>
    </row>
  </sheetData>
  <sheetProtection sheet="1" objects="1" scenarios="1"/>
  <dataValidations count="23">
    <dataValidation allowBlank="1" showInputMessage="1" showErrorMessage="1" promptTitle="Start Byte:" prompt="The starting byte index within the frame for a given field." sqref="I4 I71"/>
    <dataValidation allowBlank="1" showInputMessage="1" showErrorMessage="1" promptTitle="End Byte:" prompt="The ending byte index within the frame for a given field." sqref="J4:K4 J71"/>
    <dataValidation allowBlank="1" showInputMessage="1" showErrorMessage="1" promptTitle="Number of Bytes:" prompt="The total number of bytes that the field occupies within the frame." sqref="L4 K71"/>
    <dataValidation allowBlank="1" showInputMessage="1" showErrorMessage="1" promptTitle="Bit Size:" prompt="The size of the field in bits, which is particularly relevant for fields that do not align to full byte boundaries." sqref="M4 L71"/>
    <dataValidation allowBlank="1" showInputMessage="1" showErrorMessage="1" promptTitle="DataType:" prompt="The type of data (e.g., integer, float, string) expected within the field." sqref="N4 M71"/>
    <dataValidation allowBlank="1" showInputMessage="1" showErrorMessage="1" promptTitle="Value Definition:" prompt="A description of what the field represents, such as a range of values, fixed values, or identifiers." sqref="O4 N71"/>
    <dataValidation allowBlank="1" showInputMessage="1" showErrorMessage="1" promptTitle="Display Value (Min):" prompt="The minimum value that can be displayed or represented for the field." sqref="P4 P71"/>
    <dataValidation allowBlank="1" showInputMessage="1" showErrorMessage="1" promptTitle="Display Value (Max):" prompt="The maximum value that can be displayed or represented for the field." sqref="Q4 Q71"/>
    <dataValidation allowBlank="1" showInputMessage="1" showErrorMessage="1" promptTitle="Value in Hex (Min):" prompt="The minimum value of the field expressed in hexadecimal format." sqref="R4 R71"/>
    <dataValidation allowBlank="1" showInputMessage="1" showErrorMessage="1" promptTitle="Value in Hex(Max)" prompt=" The maximum value of the field expressed in hexadecimal format." sqref="S4 S71"/>
    <dataValidation allowBlank="1" showInputMessage="1" showErrorMessage="1" promptTitle="UI Type:" prompt="The type of user interface element that should be used to display or input the field's data (e.g., slider, toggle switch)." sqref="T4 T71"/>
    <dataValidation allowBlank="1" showInputMessage="1" showErrorMessage="1" promptTitle="UI id:" prompt="A unique identifier for the UI element corresponding to the field." sqref="U4 U71"/>
    <dataValidation allowBlank="1" showInputMessage="1" showErrorMessage="1" promptTitle="UI description IN/OUT" prompt="Describes whether the UI element is for input, output, or both." sqref="V4 V71"/>
    <dataValidation allowBlank="1" showInputMessage="1" showErrorMessage="1" promptTitle="Data Flow Direction" prompt="direction of communication in the system's architecture." sqref="W4 W71"/>
    <dataValidation allowBlank="1" showInputMessage="1" showErrorMessage="1" promptTitle="NOTES" prompt="Any additional notes for developers regarding the implementation or handling of the field." sqref="X4 X71"/>
    <dataValidation allowBlank="1" showInputMessage="1" showErrorMessage="1" promptTitle="Parameter Name" prompt="Typically used to identify the purpose of the parameter. " sqref="B5 B72 B113"/>
    <dataValidation allowBlank="1" showInputMessage="1" showErrorMessage="1" promptTitle="Frame Trigger:" prompt="Indicates what event or action triggers the transmission of the frame." sqref="B6 B73 B114"/>
    <dataValidation allowBlank="1" showInputMessage="1" showErrorMessage="1" promptTitle="Frame Type:" prompt="Specifies the kind of frame being described." sqref="B7 B74 B115"/>
    <dataValidation allowBlank="1" showInputMessage="1" showErrorMessage="1" promptTitle="Data Flow Direction:" prompt="Shows the direction of data transmission." sqref="B8 B75 B116"/>
    <dataValidation allowBlank="1" showInputMessage="1" showErrorMessage="1" promptTitle="Frame Size in Bytes:" prompt="Defines the total size of the frame in bytes." sqref="B9 B76 B117"/>
    <dataValidation allowBlank="1" showInputMessage="1" showErrorMessage="1" promptTitle="Voice Command: " prompt="Indicates whether the frame is related to a voice command." sqref="B10 B77 B118"/>
    <dataValidation allowBlank="1" showInputMessage="1" showErrorMessage="1" promptTitle="Voice Control Instruction Text:" prompt="Likely pertains to the specific text associated with a voice command." sqref="B11 B78 B119"/>
    <dataValidation allowBlank="1" showInputMessage="1" showErrorMessage="1" promptTitle="App Notification: " prompt="Specifies whether the frame is related to an application notification." sqref="B79 B120 B12:B17"/>
  </dataValidations>
  <pageMargins left="0.7" right="0.7" top="0.75" bottom="0.75" header="0.511811023622047" footer="0.511811023622047"/>
  <pageSetup orientation="portrait" horizontalDpi="300" verticalDpi="300"/>
  <extLst>
    <ext xmlns:x14="http://schemas.microsoft.com/office/spreadsheetml/2009/9/main" uri="{CCE6A557-97BC-4b89-ADB6-D9C93CAAB3DF}">
      <x14:dataValidations xmlns:xm="http://schemas.microsoft.com/office/excel/2006/main" count="13">
        <x14:dataValidation type="list" allowBlank="1" showInputMessage="1" showErrorMessage="1">
          <x14:formula1>
            <xm:f>HiddenSheet!$H$4:$H$35</xm:f>
          </x14:formula1>
          <xm:sqref>C5 F5 C72 C113</xm:sqref>
        </x14:dataValidation>
        <x14:dataValidation type="list" allowBlank="1" showInputMessage="1" showErrorMessage="1">
          <x14:formula1>
            <xm:f>HiddenSheet!$B$277:$B$290</xm:f>
          </x14:formula1>
          <xm:sqref>C6 C73 C114 O22:O23 T7:T18 T74:T85 T115:T126</xm:sqref>
        </x14:dataValidation>
        <x14:dataValidation type="list" allowBlank="1" showInputMessage="1" showErrorMessage="1">
          <x14:formula1>
            <xm:f>HiddenSheet!$C$266:$C$268</xm:f>
          </x14:formula1>
          <xm:sqref>C7 C74 C115</xm:sqref>
        </x14:dataValidation>
        <x14:dataValidation type="list" allowBlank="1" showInputMessage="1" showErrorMessage="1">
          <x14:formula1>
            <xm:f>HiddenSheet!$C$256:$C$258</xm:f>
          </x14:formula1>
          <xm:sqref>C8 C75 C116</xm:sqref>
        </x14:dataValidation>
        <x14:dataValidation type="list" allowBlank="1" showInputMessage="1" showErrorMessage="1">
          <x14:formula1>
            <xm:f>HiddenSheet!$B$54:$B$134</xm:f>
          </x14:formula1>
          <xm:sqref>C9 C76 C117 G22:G23 H18:H19 H85:H86 H126:H127 K85:K86 K126:K127 L5:L19 B20:C23 G20:I21 H5:J17 H72:K84 H113:K125</xm:sqref>
        </x14:dataValidation>
        <x14:dataValidation type="list" allowBlank="1" showInputMessage="1" showErrorMessage="1">
          <x14:formula1>
            <xm:f>HiddenSheet!$G$340:$G$341</xm:f>
          </x14:formula1>
          <xm:sqref>C10 C77 C79 C118 C120 B80:B84 B121:B125 C12:C17</xm:sqref>
        </x14:dataValidation>
        <x14:dataValidation type="list" allowBlank="1" showInputMessage="1" showErrorMessage="1">
          <x14:formula1>
            <xm:f>HiddenSheet!$D$341:$D$344</xm:f>
          </x14:formula1>
          <xm:sqref>H22:H23 N72:N82 N113:N123 O5:O15</xm:sqref>
        </x14:dataValidation>
        <x14:dataValidation type="list" allowBlank="1" showInputMessage="1" showErrorMessage="1">
          <x14:formula1>
            <xm:f>HiddenSheet!$C$190:$C$195</xm:f>
          </x14:formula1>
          <xm:sqref>K5:K19 O72:O86 O113:O127</xm:sqref>
        </x14:dataValidation>
        <x14:dataValidation type="list" allowBlank="1" showInputMessage="1" showErrorMessage="1">
          <x14:formula1>
            <xm:f>HiddenSheet!$B$341:$B$344</xm:f>
          </x14:formula1>
          <xm:sqref>L72:L86 L113:L127 M5:M19 M22:M23</xm:sqref>
        </x14:dataValidation>
        <x14:dataValidation type="list" allowBlank="1" showInputMessage="1" showErrorMessage="1">
          <x14:formula1>
            <xm:f>HiddenSheet!$D$54:$D$58</xm:f>
          </x14:formula1>
          <xm:sqref>M72:M86 M113:M127 N5:N19 N22:N23</xm:sqref>
        </x14:dataValidation>
        <x14:dataValidation type="list" allowBlank="1" showInputMessage="1" showErrorMessage="1">
          <x14:formula1>
            <xm:f>HiddenSheet!$D$340:$D$345</xm:f>
          </x14:formula1>
          <xm:sqref>N83:N86 N124:N127 O16:O19</xm:sqref>
        </x14:dataValidation>
        <x14:dataValidation type="list" allowBlank="1" showInputMessage="1" showErrorMessage="1">
          <x14:formula1>
            <xm:f>HiddenSheet!$B$277:$B$288</xm:f>
          </x14:formula1>
          <xm:sqref>T5:T6 T72:T73 T113:T114</xm:sqref>
        </x14:dataValidation>
        <x14:dataValidation type="list" allowBlank="1" showInputMessage="1" showErrorMessage="1">
          <x14:formula1>
            <xm:f>HiddenSheet!$E$341:$E$342</xm:f>
          </x14:formula1>
          <xm:sqref>V72:W85 Q22:R23 V5:W18 V113:W126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MJ260"/>
  <sheetViews>
    <sheetView tabSelected="1" topLeftCell="N1" zoomScale="70" zoomScaleNormal="70" workbookViewId="0">
      <selection activeCell="U10" sqref="U10"/>
    </sheetView>
  </sheetViews>
  <sheetFormatPr defaultColWidth="8.6640625" defaultRowHeight="23.4"/>
  <cols>
    <col min="1" max="1" width="8.6640625" style="47"/>
    <col min="2" max="2" width="51.6640625" style="47" customWidth="1"/>
    <col min="3" max="3" width="35.44140625" style="47" customWidth="1"/>
    <col min="4" max="4" width="82" style="48" customWidth="1"/>
    <col min="5" max="5" width="36.21875" style="47" customWidth="1"/>
    <col min="6" max="7" width="8.88671875" style="47" customWidth="1"/>
    <col min="8" max="8" width="15.77734375" style="47" customWidth="1"/>
    <col min="9" max="9" width="18.21875" style="47" customWidth="1"/>
    <col min="10" max="10" width="27.6640625" style="47" customWidth="1"/>
    <col min="11" max="11" width="29.88671875" style="47" customWidth="1"/>
    <col min="12" max="12" width="26.88671875" style="47" customWidth="1"/>
    <col min="13" max="13" width="29.21875" style="47" customWidth="1"/>
    <col min="14" max="14" width="29.88671875" style="47" customWidth="1"/>
    <col min="15" max="15" width="22" style="47" customWidth="1"/>
    <col min="16" max="16" width="24.77734375" style="47" customWidth="1"/>
    <col min="17" max="17" width="16.88671875" style="47" customWidth="1"/>
    <col min="18" max="18" width="27" style="47" customWidth="1"/>
    <col min="19" max="19" width="28.5546875" style="47" customWidth="1"/>
    <col min="20" max="20" width="14.6640625" style="47" customWidth="1"/>
    <col min="21" max="22" width="23.33203125" style="47" customWidth="1"/>
    <col min="23" max="23" width="36.21875" style="47" customWidth="1"/>
    <col min="24" max="24" width="21.6640625" style="47" customWidth="1"/>
    <col min="25" max="1024" width="8.6640625" style="47"/>
  </cols>
  <sheetData>
    <row r="2" spans="2:25" ht="23.25" customHeight="1">
      <c r="B2" s="135" t="s">
        <v>59</v>
      </c>
      <c r="C2" s="135"/>
      <c r="D2" s="134" t="s">
        <v>172</v>
      </c>
      <c r="F2" s="49"/>
      <c r="G2" s="50"/>
      <c r="H2" s="51"/>
      <c r="I2" s="70" t="s">
        <v>150</v>
      </c>
    </row>
    <row r="3" spans="2:25" ht="24" customHeight="1">
      <c r="B3" s="135"/>
      <c r="C3" s="135"/>
      <c r="D3" s="134"/>
      <c r="F3" s="52"/>
      <c r="G3" s="53"/>
      <c r="H3" s="53"/>
      <c r="I3" s="71" t="s">
        <v>151</v>
      </c>
    </row>
    <row r="5" spans="2:25">
      <c r="B5" s="54" t="s">
        <v>152</v>
      </c>
    </row>
    <row r="7" spans="2:25" ht="44.25" customHeight="1">
      <c r="B7" s="55" t="s">
        <v>61</v>
      </c>
      <c r="C7" s="55" t="s">
        <v>62</v>
      </c>
      <c r="D7" s="55" t="s">
        <v>63</v>
      </c>
      <c r="E7" s="55" t="s">
        <v>5</v>
      </c>
      <c r="G7" s="55" t="s">
        <v>64</v>
      </c>
      <c r="H7" s="55" t="s">
        <v>153</v>
      </c>
      <c r="I7" s="55" t="s">
        <v>154</v>
      </c>
      <c r="J7" s="55" t="s">
        <v>67</v>
      </c>
      <c r="K7" s="55" t="s">
        <v>68</v>
      </c>
      <c r="L7" s="55" t="s">
        <v>69</v>
      </c>
      <c r="M7" s="55" t="s">
        <v>70</v>
      </c>
      <c r="N7" s="55" t="s">
        <v>71</v>
      </c>
      <c r="O7" s="55" t="s">
        <v>72</v>
      </c>
      <c r="P7" s="55" t="s">
        <v>73</v>
      </c>
      <c r="Q7" s="55" t="s">
        <v>74</v>
      </c>
      <c r="R7" s="55" t="s">
        <v>75</v>
      </c>
      <c r="S7" s="55" t="s">
        <v>76</v>
      </c>
      <c r="T7" s="55" t="s">
        <v>77</v>
      </c>
      <c r="U7" s="55" t="s">
        <v>155</v>
      </c>
      <c r="V7" s="55" t="s">
        <v>78</v>
      </c>
      <c r="W7" s="55" t="s">
        <v>161</v>
      </c>
      <c r="X7" s="55" t="s">
        <v>5</v>
      </c>
    </row>
    <row r="8" spans="2:25" ht="79.650000000000006" customHeight="1">
      <c r="B8" s="49" t="s">
        <v>62</v>
      </c>
      <c r="C8" s="56" t="s">
        <v>173</v>
      </c>
      <c r="D8" s="74"/>
      <c r="E8" s="56"/>
      <c r="G8" s="58">
        <v>1</v>
      </c>
      <c r="H8" s="58">
        <v>1</v>
      </c>
      <c r="I8" s="58">
        <v>4</v>
      </c>
      <c r="J8" s="56" t="s">
        <v>94</v>
      </c>
      <c r="K8" s="58">
        <v>4</v>
      </c>
      <c r="L8" s="58">
        <v>32</v>
      </c>
      <c r="M8" s="58" t="s">
        <v>95</v>
      </c>
      <c r="N8" s="58" t="s">
        <v>96</v>
      </c>
      <c r="O8" s="56"/>
      <c r="P8" s="56"/>
      <c r="Q8" s="56">
        <v>0</v>
      </c>
      <c r="R8" s="56" t="s">
        <v>174</v>
      </c>
      <c r="S8" s="56" t="s">
        <v>24</v>
      </c>
      <c r="T8" s="56">
        <v>8</v>
      </c>
      <c r="U8" s="56">
        <v>1</v>
      </c>
      <c r="V8" s="56" t="s">
        <v>167</v>
      </c>
      <c r="W8" s="56"/>
      <c r="X8" s="56" t="s">
        <v>169</v>
      </c>
      <c r="Y8" s="80"/>
    </row>
    <row r="9" spans="2:25" ht="79.650000000000006" customHeight="1">
      <c r="B9" s="49" t="s">
        <v>102</v>
      </c>
      <c r="C9" s="56" t="s">
        <v>157</v>
      </c>
      <c r="D9" s="57" t="str">
        <f>IFERROR(VLOOKUP(C9,HiddenSheet!$C$256:$D$257,2,FALSE()),"")</f>
        <v>Data is transmitted from the application or server downstream to the device.</v>
      </c>
      <c r="E9" s="56"/>
      <c r="G9" s="58"/>
      <c r="H9" s="58"/>
      <c r="I9" s="58"/>
      <c r="J9" s="56"/>
      <c r="K9" s="58"/>
      <c r="L9" s="58"/>
      <c r="M9" s="58"/>
      <c r="N9" s="58"/>
      <c r="O9" s="56"/>
      <c r="P9" s="56"/>
      <c r="Q9" s="56"/>
      <c r="R9" s="56"/>
      <c r="S9" s="56"/>
      <c r="T9" s="56"/>
      <c r="U9" s="56"/>
      <c r="V9" s="56"/>
      <c r="W9" s="56"/>
      <c r="X9" s="56"/>
    </row>
    <row r="10" spans="2:25" ht="79.650000000000006" customHeight="1">
      <c r="B10" s="49" t="s">
        <v>91</v>
      </c>
      <c r="C10" s="59" t="s">
        <v>92</v>
      </c>
      <c r="D10" s="57" t="str">
        <f>IFERROR(VLOOKUP(C10,HiddenSheet!$C$226:$D$268,2,FALSE()),"")</f>
        <v>This frame is a command that can originate from the application, server, or device, used to initiate an action or request information.</v>
      </c>
      <c r="E10" s="56"/>
      <c r="G10" s="58"/>
      <c r="H10" s="58"/>
      <c r="I10" s="58"/>
      <c r="J10" s="56"/>
      <c r="K10" s="58"/>
      <c r="L10" s="58"/>
      <c r="M10" s="58"/>
      <c r="N10" s="58"/>
      <c r="O10" s="56"/>
      <c r="P10" s="56"/>
      <c r="Q10" s="56"/>
      <c r="R10" s="56"/>
      <c r="S10" s="56"/>
      <c r="T10" s="56"/>
      <c r="U10" s="56"/>
      <c r="V10" s="56"/>
      <c r="W10" s="56"/>
      <c r="X10" s="56"/>
    </row>
    <row r="11" spans="2:25" ht="79.650000000000006" customHeight="1">
      <c r="B11" s="49" t="s">
        <v>109</v>
      </c>
      <c r="C11" s="60">
        <v>1</v>
      </c>
      <c r="D11" s="61" t="s">
        <v>110</v>
      </c>
      <c r="E11" s="56"/>
      <c r="G11" s="58"/>
      <c r="H11" s="58"/>
      <c r="I11" s="58"/>
      <c r="J11" s="58"/>
      <c r="K11" s="58"/>
      <c r="L11" s="56"/>
      <c r="M11" s="56"/>
      <c r="N11" s="56"/>
      <c r="O11" s="56"/>
      <c r="P11" s="58"/>
      <c r="Q11" s="58"/>
      <c r="R11" s="56"/>
      <c r="S11" s="56"/>
      <c r="T11" s="56"/>
      <c r="U11" s="56"/>
      <c r="V11" s="56"/>
      <c r="W11" s="56"/>
      <c r="X11" s="56"/>
    </row>
    <row r="12" spans="2:25" ht="79.650000000000006" customHeight="1">
      <c r="B12" s="49" t="s">
        <v>87</v>
      </c>
      <c r="C12" s="56" t="s">
        <v>175</v>
      </c>
      <c r="D12" s="57" t="str">
        <f>IFERROR(VLOOKUP(C12,HiddenSheet!$B$277:$C$291,2,FALSE()),"")</f>
        <v>An action or sends a frame after it receives a frame.</v>
      </c>
      <c r="E12" s="56"/>
      <c r="F12" s="63"/>
      <c r="G12" s="58"/>
      <c r="H12" s="58"/>
      <c r="I12" s="58"/>
      <c r="J12" s="78"/>
      <c r="K12" s="58"/>
      <c r="L12" s="56"/>
      <c r="M12" s="56"/>
      <c r="N12" s="56"/>
      <c r="O12" s="56"/>
      <c r="P12" s="58"/>
      <c r="Q12" s="58"/>
      <c r="R12" s="56"/>
      <c r="S12" s="56"/>
      <c r="T12" s="56"/>
      <c r="U12" s="56"/>
      <c r="V12" s="56"/>
      <c r="W12" s="56"/>
      <c r="X12" s="56"/>
    </row>
    <row r="13" spans="2:25" ht="79.650000000000006" customHeight="1">
      <c r="B13" s="49" t="s">
        <v>159</v>
      </c>
      <c r="C13" s="64" t="b">
        <f>FALSE()</f>
        <v>0</v>
      </c>
      <c r="D13" s="65"/>
      <c r="E13" s="66"/>
      <c r="F13" s="63"/>
      <c r="G13" s="58"/>
      <c r="H13" s="58"/>
      <c r="I13" s="58"/>
      <c r="J13" s="56"/>
      <c r="K13" s="58"/>
      <c r="L13" s="58"/>
      <c r="M13" s="58"/>
      <c r="N13" s="58"/>
      <c r="O13" s="56"/>
      <c r="P13" s="56"/>
      <c r="Q13" s="56"/>
      <c r="R13" s="56"/>
      <c r="S13" s="56"/>
      <c r="T13" s="56"/>
      <c r="U13" s="56"/>
      <c r="V13" s="56"/>
      <c r="W13" s="56"/>
      <c r="X13" s="56"/>
    </row>
    <row r="14" spans="2:25" ht="79.650000000000006" customHeight="1">
      <c r="B14" s="49" t="s">
        <v>112</v>
      </c>
      <c r="C14" s="66"/>
      <c r="D14" s="65" t="s">
        <v>113</v>
      </c>
      <c r="E14" s="66"/>
      <c r="F14" s="63"/>
      <c r="G14" s="58"/>
      <c r="H14" s="58"/>
      <c r="I14" s="58"/>
      <c r="J14" s="56"/>
      <c r="K14" s="58"/>
      <c r="L14" s="58"/>
      <c r="M14" s="58"/>
      <c r="N14" s="58"/>
      <c r="O14" s="56"/>
      <c r="P14" s="56"/>
      <c r="Q14" s="56"/>
      <c r="R14" s="56"/>
      <c r="S14" s="56"/>
      <c r="T14" s="56"/>
      <c r="U14" s="56"/>
      <c r="V14" s="56"/>
      <c r="W14" s="56"/>
      <c r="X14" s="56"/>
    </row>
    <row r="15" spans="2:25" ht="79.650000000000006" customHeight="1">
      <c r="B15" s="49" t="s">
        <v>117</v>
      </c>
      <c r="C15" s="66"/>
      <c r="D15" s="61" t="s">
        <v>118</v>
      </c>
      <c r="E15" s="66"/>
      <c r="F15" s="63"/>
      <c r="G15" s="58"/>
      <c r="H15" s="58"/>
      <c r="I15" s="58"/>
      <c r="J15" s="56"/>
      <c r="K15" s="58"/>
      <c r="L15" s="58"/>
      <c r="M15" s="58"/>
      <c r="N15" s="58"/>
      <c r="O15" s="56"/>
      <c r="P15" s="56"/>
      <c r="Q15" s="56"/>
      <c r="R15" s="56"/>
      <c r="S15" s="56"/>
      <c r="T15" s="56"/>
      <c r="U15" s="56"/>
      <c r="V15" s="56"/>
      <c r="W15" s="56"/>
      <c r="X15" s="56"/>
    </row>
    <row r="16" spans="2:25" ht="79.650000000000006" customHeight="1">
      <c r="B16" s="67" t="s">
        <v>120</v>
      </c>
      <c r="C16" s="66"/>
      <c r="D16" s="61" t="s">
        <v>121</v>
      </c>
      <c r="E16" s="66"/>
      <c r="F16" s="63"/>
      <c r="G16" s="58"/>
      <c r="H16" s="58"/>
      <c r="I16" s="58"/>
      <c r="J16" s="56"/>
      <c r="K16" s="58"/>
      <c r="L16" s="58"/>
      <c r="M16" s="58"/>
      <c r="N16" s="58"/>
      <c r="O16" s="56"/>
      <c r="P16" s="56"/>
      <c r="Q16" s="56"/>
      <c r="R16" s="56"/>
      <c r="S16" s="56"/>
      <c r="T16" s="56"/>
      <c r="U16" s="56"/>
      <c r="V16" s="56"/>
      <c r="W16" s="56"/>
      <c r="X16" s="56"/>
    </row>
    <row r="17" spans="2:24" ht="79.650000000000006" customHeight="1">
      <c r="B17" s="68"/>
      <c r="C17" s="63"/>
      <c r="E17" s="63"/>
      <c r="F17" s="63"/>
      <c r="G17" s="58"/>
      <c r="H17" s="58"/>
      <c r="I17" s="58"/>
      <c r="J17" s="56"/>
      <c r="K17" s="58"/>
      <c r="L17" s="58"/>
      <c r="M17" s="58"/>
      <c r="N17" s="58"/>
      <c r="O17" s="56"/>
      <c r="P17" s="56"/>
      <c r="Q17" s="56"/>
      <c r="R17" s="56"/>
      <c r="S17" s="56"/>
      <c r="T17" s="56"/>
      <c r="U17" s="56"/>
      <c r="V17" s="56"/>
      <c r="W17" s="56"/>
      <c r="X17" s="56"/>
    </row>
    <row r="18" spans="2:24" ht="79.650000000000006" customHeight="1">
      <c r="B18" s="68"/>
      <c r="C18" s="63"/>
      <c r="E18" s="63"/>
      <c r="F18" s="63"/>
      <c r="G18" s="58"/>
      <c r="H18" s="58"/>
      <c r="I18" s="58"/>
      <c r="J18" s="56"/>
      <c r="K18" s="58"/>
      <c r="L18" s="58"/>
      <c r="M18" s="58"/>
      <c r="N18" s="58"/>
      <c r="O18" s="56"/>
      <c r="P18" s="56"/>
      <c r="Q18" s="56"/>
      <c r="R18" s="56"/>
      <c r="S18" s="56"/>
      <c r="T18" s="56"/>
      <c r="U18" s="56"/>
      <c r="V18" s="56"/>
      <c r="W18" s="56"/>
      <c r="X18" s="56"/>
    </row>
    <row r="19" spans="2:24" ht="30" customHeight="1">
      <c r="B19" s="68"/>
      <c r="C19" s="63"/>
      <c r="E19" s="63"/>
      <c r="F19" s="63"/>
      <c r="G19" s="58"/>
      <c r="H19" s="58"/>
      <c r="I19" s="58"/>
      <c r="J19" s="56"/>
      <c r="K19" s="58"/>
      <c r="L19" s="58"/>
      <c r="M19" s="58"/>
      <c r="N19" s="58"/>
      <c r="O19" s="56"/>
      <c r="P19" s="56"/>
      <c r="Q19" s="56"/>
      <c r="R19" s="56"/>
      <c r="S19" s="56"/>
      <c r="T19" s="56"/>
      <c r="U19" s="56"/>
      <c r="V19" s="56"/>
      <c r="W19" s="56"/>
      <c r="X19" s="56"/>
    </row>
    <row r="20" spans="2:24" ht="30" customHeight="1">
      <c r="B20" s="68"/>
      <c r="C20" s="63"/>
      <c r="E20" s="63"/>
      <c r="F20" s="63"/>
      <c r="G20" s="58"/>
      <c r="H20" s="58"/>
      <c r="I20" s="58"/>
      <c r="J20" s="56"/>
      <c r="K20" s="58"/>
      <c r="L20" s="58"/>
      <c r="M20" s="58"/>
      <c r="N20" s="58"/>
      <c r="O20" s="56"/>
      <c r="P20" s="56"/>
      <c r="Q20" s="56"/>
      <c r="R20" s="56"/>
      <c r="S20" s="56"/>
      <c r="T20" s="56"/>
      <c r="U20" s="56"/>
      <c r="V20" s="56"/>
      <c r="W20" s="56"/>
      <c r="X20" s="56"/>
    </row>
    <row r="21" spans="2:24">
      <c r="G21" s="58"/>
      <c r="H21" s="56"/>
      <c r="I21" s="56"/>
      <c r="J21" s="56"/>
      <c r="K21" s="58"/>
      <c r="L21" s="58"/>
      <c r="M21" s="58"/>
      <c r="N21" s="58"/>
      <c r="O21" s="56"/>
      <c r="P21" s="56"/>
      <c r="Q21" s="56"/>
      <c r="R21" s="56"/>
      <c r="S21" s="56"/>
      <c r="T21" s="56"/>
      <c r="U21" s="56"/>
      <c r="V21" s="56"/>
      <c r="W21" s="56"/>
      <c r="X21" s="56"/>
    </row>
    <row r="22" spans="2:24">
      <c r="G22" s="58"/>
      <c r="H22" s="56"/>
      <c r="I22" s="56"/>
      <c r="J22" s="56"/>
      <c r="K22" s="58"/>
      <c r="L22" s="58"/>
      <c r="M22" s="58"/>
      <c r="N22" s="58"/>
      <c r="O22" s="56"/>
      <c r="P22" s="56"/>
      <c r="Q22" s="56"/>
      <c r="R22" s="56"/>
      <c r="S22" s="56"/>
      <c r="T22" s="56"/>
      <c r="U22" s="56"/>
      <c r="V22" s="56"/>
      <c r="W22" s="56"/>
      <c r="X22" s="56"/>
    </row>
    <row r="23" spans="2:24">
      <c r="B23" s="68"/>
      <c r="C23" s="68"/>
      <c r="D23" s="69"/>
      <c r="F23" s="68"/>
      <c r="G23" s="68"/>
      <c r="H23" s="68"/>
    </row>
    <row r="24" spans="2:24">
      <c r="B24" s="68"/>
      <c r="C24" s="68"/>
      <c r="D24" s="69"/>
      <c r="F24" s="68"/>
      <c r="G24" s="68"/>
      <c r="H24" s="68"/>
    </row>
    <row r="25" spans="2:24">
      <c r="B25" s="68"/>
      <c r="C25" s="68"/>
      <c r="D25" s="69"/>
      <c r="F25" s="68"/>
      <c r="G25" s="68"/>
      <c r="J25" s="72"/>
      <c r="L25" s="68"/>
      <c r="M25" s="68"/>
    </row>
    <row r="26" spans="2:24">
      <c r="B26" s="68"/>
      <c r="C26" s="68"/>
      <c r="D26" s="69"/>
      <c r="F26" s="68"/>
      <c r="G26" s="68"/>
      <c r="L26" s="68"/>
      <c r="M26" s="68"/>
    </row>
    <row r="27" spans="2:24">
      <c r="B27" s="68"/>
      <c r="C27" s="68"/>
      <c r="D27" s="69"/>
      <c r="F27" s="68"/>
      <c r="G27" s="68"/>
      <c r="L27" s="68"/>
      <c r="M27" s="68"/>
    </row>
    <row r="28" spans="2:24">
      <c r="B28" s="68"/>
      <c r="C28" s="68"/>
      <c r="D28" s="69"/>
      <c r="F28" s="68"/>
      <c r="G28" s="68"/>
      <c r="L28" s="68"/>
      <c r="M28" s="68"/>
    </row>
    <row r="29" spans="2:24">
      <c r="B29" s="68"/>
      <c r="C29" s="68"/>
      <c r="D29" s="69"/>
      <c r="F29" s="68"/>
      <c r="G29" s="68"/>
      <c r="L29" s="68"/>
      <c r="M29" s="68"/>
    </row>
    <row r="30" spans="2:24">
      <c r="B30" s="68"/>
      <c r="C30" s="68"/>
      <c r="D30" s="69"/>
      <c r="F30" s="68"/>
      <c r="G30" s="68"/>
      <c r="L30" s="68"/>
      <c r="M30" s="68"/>
    </row>
    <row r="31" spans="2:24">
      <c r="B31" s="68"/>
      <c r="C31" s="68"/>
      <c r="D31" s="69"/>
      <c r="F31" s="68"/>
      <c r="G31" s="68"/>
      <c r="L31" s="68"/>
      <c r="M31" s="68"/>
    </row>
    <row r="32" spans="2:24">
      <c r="B32" s="68"/>
      <c r="C32" s="68"/>
      <c r="D32" s="69"/>
      <c r="F32" s="68"/>
      <c r="G32" s="68"/>
      <c r="L32" s="68"/>
      <c r="M32" s="68"/>
    </row>
    <row r="33" spans="2:13">
      <c r="B33" s="68"/>
      <c r="C33" s="68"/>
      <c r="D33" s="69"/>
      <c r="F33" s="68"/>
      <c r="G33" s="68"/>
      <c r="L33" s="68"/>
      <c r="M33" s="68"/>
    </row>
    <row r="34" spans="2:13">
      <c r="B34" s="68"/>
      <c r="C34" s="68"/>
      <c r="D34" s="69"/>
      <c r="F34" s="68"/>
      <c r="G34" s="68"/>
      <c r="L34" s="68"/>
      <c r="M34" s="68"/>
    </row>
    <row r="35" spans="2:13">
      <c r="B35" s="68"/>
      <c r="C35" s="68"/>
      <c r="D35" s="69"/>
      <c r="F35" s="68"/>
      <c r="G35" s="68"/>
      <c r="L35" s="68"/>
      <c r="M35" s="68"/>
    </row>
    <row r="36" spans="2:13">
      <c r="C36" s="68"/>
      <c r="D36" s="69"/>
      <c r="F36" s="68"/>
      <c r="G36" s="68"/>
      <c r="L36" s="68"/>
      <c r="M36" s="68"/>
    </row>
    <row r="37" spans="2:13">
      <c r="C37" s="68"/>
      <c r="D37" s="69"/>
      <c r="F37" s="68"/>
      <c r="G37" s="68"/>
      <c r="L37" s="68"/>
      <c r="M37" s="68"/>
    </row>
    <row r="38" spans="2:13">
      <c r="B38" s="68"/>
      <c r="C38" s="68"/>
    </row>
    <row r="39" spans="2:13">
      <c r="B39" s="68"/>
      <c r="C39" s="68"/>
    </row>
    <row r="40" spans="2:13">
      <c r="B40" s="68"/>
      <c r="C40" s="68"/>
    </row>
    <row r="41" spans="2:13">
      <c r="B41" s="68"/>
      <c r="C41" s="68"/>
    </row>
    <row r="42" spans="2:13">
      <c r="B42" s="68"/>
      <c r="C42" s="68"/>
    </row>
    <row r="43" spans="2:13">
      <c r="B43" s="68"/>
      <c r="C43" s="68"/>
    </row>
    <row r="44" spans="2:13">
      <c r="B44" s="68"/>
      <c r="C44" s="68"/>
    </row>
    <row r="45" spans="2:13">
      <c r="B45" s="68"/>
      <c r="C45" s="68"/>
    </row>
    <row r="46" spans="2:13">
      <c r="B46" s="68"/>
      <c r="C46" s="68"/>
    </row>
    <row r="47" spans="2:13">
      <c r="B47" s="68"/>
      <c r="C47" s="68"/>
    </row>
    <row r="48" spans="2:13">
      <c r="B48" s="68"/>
    </row>
    <row r="69" spans="2:24">
      <c r="B69" s="54" t="s">
        <v>138</v>
      </c>
    </row>
    <row r="73" spans="2:24" ht="12" customHeight="1"/>
    <row r="74" spans="2:24" ht="58.5" customHeight="1">
      <c r="B74" s="73" t="s">
        <v>61</v>
      </c>
      <c r="C74" s="73" t="s">
        <v>62</v>
      </c>
      <c r="D74" s="73" t="s">
        <v>63</v>
      </c>
      <c r="E74" s="73" t="s">
        <v>5</v>
      </c>
      <c r="G74" s="55" t="s">
        <v>64</v>
      </c>
      <c r="H74" s="55" t="s">
        <v>153</v>
      </c>
      <c r="I74" s="55" t="s">
        <v>154</v>
      </c>
      <c r="J74" s="55" t="s">
        <v>67</v>
      </c>
      <c r="K74" s="55" t="s">
        <v>68</v>
      </c>
      <c r="L74" s="55" t="s">
        <v>69</v>
      </c>
      <c r="M74" s="55" t="s">
        <v>70</v>
      </c>
      <c r="N74" s="55" t="s">
        <v>71</v>
      </c>
      <c r="O74" s="55" t="s">
        <v>72</v>
      </c>
      <c r="P74" s="55" t="s">
        <v>73</v>
      </c>
      <c r="Q74" s="55" t="s">
        <v>74</v>
      </c>
      <c r="R74" s="55" t="s">
        <v>75</v>
      </c>
      <c r="S74" s="55" t="s">
        <v>76</v>
      </c>
      <c r="T74" s="55" t="s">
        <v>77</v>
      </c>
      <c r="U74" s="55" t="s">
        <v>155</v>
      </c>
      <c r="V74" s="55" t="s">
        <v>78</v>
      </c>
      <c r="W74" s="55" t="s">
        <v>161</v>
      </c>
      <c r="X74" s="55" t="s">
        <v>5</v>
      </c>
    </row>
    <row r="75" spans="2:24" ht="79.650000000000006" customHeight="1">
      <c r="B75" s="74" t="s">
        <v>62</v>
      </c>
      <c r="C75" s="56" t="s">
        <v>173</v>
      </c>
      <c r="D75" s="57" t="str">
        <f>IFERROR(VLOOKUP(C75,HiddenSheet!$H$4:$N$35,7,FALSE()),"")</f>
        <v/>
      </c>
      <c r="E75" s="62"/>
      <c r="G75" s="58"/>
      <c r="H75" s="58"/>
      <c r="I75" s="58"/>
      <c r="J75" s="56"/>
      <c r="K75" s="58"/>
      <c r="L75" s="58"/>
      <c r="M75" s="58"/>
      <c r="N75" s="58"/>
      <c r="O75" s="56"/>
      <c r="P75" s="56"/>
      <c r="Q75" s="56"/>
      <c r="R75" s="56"/>
      <c r="S75" s="56"/>
      <c r="T75" s="56"/>
      <c r="U75" s="56"/>
      <c r="V75" s="56"/>
      <c r="W75" s="56"/>
      <c r="X75" s="56"/>
    </row>
    <row r="76" spans="2:24" ht="79.650000000000006" customHeight="1">
      <c r="B76" s="74" t="s">
        <v>102</v>
      </c>
      <c r="C76" s="62" t="s">
        <v>162</v>
      </c>
      <c r="D76" s="57" t="str">
        <f>IFERROR(VLOOKUP(C76,HiddenSheet!$C$256:$D$257,2,FALSE()),"")</f>
        <v>Data is transmitted from the device upstream to the application or server.</v>
      </c>
      <c r="E76" s="62"/>
      <c r="G76" s="58"/>
      <c r="H76" s="58"/>
      <c r="I76" s="58"/>
      <c r="J76" s="56"/>
      <c r="K76" s="58"/>
      <c r="L76" s="58"/>
      <c r="M76" s="58"/>
      <c r="N76" s="58"/>
      <c r="O76" s="56"/>
      <c r="P76" s="56"/>
      <c r="Q76" s="56"/>
      <c r="R76" s="56"/>
      <c r="S76" s="56"/>
      <c r="T76" s="56"/>
      <c r="U76" s="56"/>
      <c r="V76" s="56"/>
      <c r="W76" s="56"/>
      <c r="X76" s="56"/>
    </row>
    <row r="77" spans="2:24" ht="79.650000000000006" customHeight="1">
      <c r="B77" s="74" t="s">
        <v>91</v>
      </c>
      <c r="C77" s="59" t="s">
        <v>141</v>
      </c>
      <c r="D77" s="57" t="str">
        <f>IFERROR(VLOOKUP(C77,HiddenSheet!$C$226:$D$268,2,FALSE()),"")</f>
        <v>This frame is a response from the target of the command, whether it's the device, server, or application, providing confirmation, requested data, or status updates.</v>
      </c>
      <c r="E77" s="62"/>
      <c r="G77" s="58"/>
      <c r="H77" s="58"/>
      <c r="I77" s="58"/>
      <c r="J77" s="56"/>
      <c r="K77" s="58"/>
      <c r="L77" s="58"/>
      <c r="M77" s="58"/>
      <c r="N77" s="58"/>
      <c r="O77" s="56"/>
      <c r="P77" s="56"/>
      <c r="Q77" s="56"/>
      <c r="R77" s="56"/>
      <c r="S77" s="56"/>
      <c r="T77" s="56"/>
      <c r="U77" s="56"/>
      <c r="V77" s="56"/>
      <c r="W77" s="56"/>
      <c r="X77" s="56"/>
    </row>
    <row r="78" spans="2:24" ht="79.650000000000006" customHeight="1">
      <c r="B78" s="74" t="s">
        <v>109</v>
      </c>
      <c r="C78" s="58">
        <v>5</v>
      </c>
      <c r="D78" s="61" t="s">
        <v>110</v>
      </c>
      <c r="E78" s="62"/>
      <c r="G78" s="58"/>
      <c r="H78" s="58"/>
      <c r="I78" s="58"/>
      <c r="J78" s="58"/>
      <c r="K78" s="58"/>
      <c r="L78" s="56"/>
      <c r="M78" s="56"/>
      <c r="N78" s="56"/>
      <c r="O78" s="56"/>
      <c r="P78" s="58"/>
      <c r="Q78" s="58"/>
      <c r="R78" s="56"/>
      <c r="S78" s="56"/>
      <c r="T78" s="56"/>
      <c r="U78" s="56"/>
      <c r="V78" s="56"/>
      <c r="W78" s="56"/>
      <c r="X78" s="56"/>
    </row>
    <row r="79" spans="2:24" ht="79.650000000000006" customHeight="1">
      <c r="B79" s="74" t="s">
        <v>87</v>
      </c>
      <c r="C79" s="60" t="s">
        <v>164</v>
      </c>
      <c r="D79" s="57" t="str">
        <f>IFERROR(VLOOKUP(C79,HiddenSheet!$B$277:$C$291,2,FALSE()),"")</f>
        <v>An action or sends a frame after it receives a frame.</v>
      </c>
      <c r="E79" s="62"/>
      <c r="G79" s="58"/>
      <c r="H79" s="58"/>
      <c r="I79" s="58"/>
      <c r="J79" s="78"/>
      <c r="K79" s="58"/>
      <c r="L79" s="56"/>
      <c r="M79" s="56"/>
      <c r="N79" s="56"/>
      <c r="O79" s="56"/>
      <c r="P79" s="58"/>
      <c r="Q79" s="58"/>
      <c r="R79" s="56"/>
      <c r="S79" s="56"/>
      <c r="T79" s="56"/>
      <c r="U79" s="56"/>
      <c r="V79" s="56"/>
      <c r="W79" s="56"/>
      <c r="X79" s="56"/>
    </row>
    <row r="80" spans="2:24" ht="79.650000000000006" customHeight="1">
      <c r="B80" s="74" t="s">
        <v>112</v>
      </c>
      <c r="C80" s="75"/>
      <c r="D80" s="65" t="s">
        <v>113</v>
      </c>
      <c r="E80" s="75"/>
      <c r="G80" s="58"/>
      <c r="H80" s="58"/>
      <c r="I80" s="58"/>
      <c r="J80" s="56"/>
      <c r="K80" s="58"/>
      <c r="L80" s="58"/>
      <c r="M80" s="58"/>
      <c r="N80" s="58"/>
      <c r="O80" s="56"/>
      <c r="P80" s="56"/>
      <c r="Q80" s="56"/>
      <c r="R80" s="56"/>
      <c r="S80" s="56"/>
      <c r="T80" s="56"/>
      <c r="U80" s="56"/>
      <c r="V80" s="56"/>
      <c r="W80" s="56"/>
      <c r="X80" s="56"/>
    </row>
    <row r="81" spans="2:24" ht="79.650000000000006" customHeight="1">
      <c r="B81" s="74" t="s">
        <v>117</v>
      </c>
      <c r="C81" s="75"/>
      <c r="D81" s="61" t="s">
        <v>118</v>
      </c>
      <c r="E81" s="75"/>
      <c r="G81" s="58"/>
      <c r="H81" s="58"/>
      <c r="I81" s="58"/>
      <c r="J81" s="56"/>
      <c r="K81" s="58"/>
      <c r="L81" s="58"/>
      <c r="M81" s="58"/>
      <c r="N81" s="58"/>
      <c r="O81" s="56"/>
      <c r="P81" s="56"/>
      <c r="Q81" s="56"/>
      <c r="R81" s="56"/>
      <c r="S81" s="56"/>
      <c r="T81" s="56"/>
      <c r="U81" s="56"/>
      <c r="V81" s="56"/>
      <c r="W81" s="56"/>
      <c r="X81" s="56"/>
    </row>
    <row r="82" spans="2:24" ht="79.650000000000006" customHeight="1">
      <c r="B82" s="76" t="s">
        <v>120</v>
      </c>
      <c r="C82" s="75"/>
      <c r="D82" s="61" t="s">
        <v>121</v>
      </c>
      <c r="E82" s="75"/>
      <c r="G82" s="58"/>
      <c r="H82" s="58"/>
      <c r="I82" s="58"/>
      <c r="J82" s="56"/>
      <c r="K82" s="58"/>
      <c r="L82" s="58"/>
      <c r="M82" s="58"/>
      <c r="N82" s="58"/>
      <c r="O82" s="56"/>
      <c r="P82" s="56"/>
      <c r="Q82" s="56"/>
      <c r="R82" s="56"/>
      <c r="S82" s="56"/>
      <c r="T82" s="56"/>
      <c r="U82" s="56"/>
      <c r="V82" s="56"/>
      <c r="W82" s="56"/>
      <c r="X82" s="56"/>
    </row>
    <row r="83" spans="2:24" ht="39" customHeight="1">
      <c r="B83" s="63"/>
      <c r="C83" s="48"/>
      <c r="D83" s="63"/>
      <c r="E83" s="63"/>
      <c r="G83" s="58"/>
      <c r="H83" s="58"/>
      <c r="I83" s="58"/>
      <c r="J83" s="56"/>
      <c r="K83" s="58"/>
      <c r="L83" s="58"/>
      <c r="M83" s="58"/>
      <c r="N83" s="58"/>
      <c r="O83" s="56"/>
      <c r="P83" s="56"/>
      <c r="Q83" s="56"/>
      <c r="R83" s="56"/>
      <c r="S83" s="56"/>
      <c r="T83" s="56"/>
      <c r="U83" s="56"/>
      <c r="V83" s="56"/>
      <c r="W83" s="56"/>
      <c r="X83" s="56"/>
    </row>
    <row r="84" spans="2:24">
      <c r="B84" s="63"/>
      <c r="C84" s="48"/>
      <c r="D84" s="63"/>
      <c r="E84" s="63"/>
      <c r="G84" s="58"/>
      <c r="H84" s="58"/>
      <c r="I84" s="58"/>
      <c r="J84" s="56"/>
      <c r="K84" s="58"/>
      <c r="L84" s="58"/>
      <c r="M84" s="58"/>
      <c r="N84" s="58"/>
      <c r="O84" s="56"/>
      <c r="P84" s="56"/>
      <c r="Q84" s="56"/>
      <c r="R84" s="56"/>
      <c r="S84" s="56"/>
      <c r="T84" s="56"/>
      <c r="U84" s="56"/>
      <c r="V84" s="56"/>
      <c r="W84" s="56"/>
      <c r="X84" s="56"/>
    </row>
    <row r="85" spans="2:24">
      <c r="B85" s="63"/>
      <c r="C85" s="48"/>
      <c r="D85" s="63"/>
      <c r="E85" s="63"/>
      <c r="G85" s="58"/>
      <c r="H85" s="58"/>
      <c r="I85" s="58"/>
      <c r="J85" s="56"/>
      <c r="K85" s="58"/>
      <c r="L85" s="58"/>
      <c r="M85" s="58"/>
      <c r="N85" s="58"/>
      <c r="O85" s="56"/>
      <c r="P85" s="56"/>
      <c r="Q85" s="56"/>
      <c r="R85" s="56"/>
      <c r="S85" s="56"/>
      <c r="T85" s="56"/>
      <c r="U85" s="56"/>
      <c r="V85" s="56"/>
      <c r="W85" s="56"/>
      <c r="X85" s="56"/>
    </row>
    <row r="86" spans="2:24">
      <c r="B86" s="63"/>
      <c r="C86" s="48"/>
      <c r="D86" s="63"/>
      <c r="E86" s="63"/>
      <c r="G86" s="58"/>
      <c r="H86" s="58"/>
      <c r="I86" s="58"/>
      <c r="J86" s="56"/>
      <c r="K86" s="58"/>
      <c r="L86" s="58"/>
      <c r="M86" s="58"/>
      <c r="N86" s="58"/>
      <c r="O86" s="56"/>
      <c r="P86" s="56"/>
      <c r="Q86" s="56"/>
      <c r="R86" s="56"/>
      <c r="S86" s="56"/>
      <c r="T86" s="56"/>
      <c r="U86" s="56"/>
      <c r="V86" s="56"/>
      <c r="W86" s="56"/>
      <c r="X86" s="56"/>
    </row>
    <row r="87" spans="2:24">
      <c r="B87" s="63"/>
      <c r="C87" s="48"/>
      <c r="D87" s="63"/>
      <c r="E87" s="63"/>
      <c r="G87" s="58"/>
      <c r="H87" s="58"/>
      <c r="I87" s="58"/>
      <c r="J87" s="56"/>
      <c r="K87" s="58"/>
      <c r="L87" s="58"/>
      <c r="M87" s="58"/>
      <c r="N87" s="58"/>
      <c r="O87" s="56"/>
      <c r="P87" s="56"/>
      <c r="Q87" s="56"/>
      <c r="R87" s="56"/>
      <c r="S87" s="56"/>
      <c r="T87" s="56"/>
      <c r="U87" s="56"/>
      <c r="V87" s="56"/>
      <c r="W87" s="56"/>
      <c r="X87" s="56"/>
    </row>
    <row r="88" spans="2:24" s="47" customFormat="1">
      <c r="C88" s="48"/>
      <c r="G88" s="58"/>
      <c r="H88" s="56"/>
      <c r="I88" s="56"/>
      <c r="J88" s="56"/>
      <c r="K88" s="58"/>
      <c r="L88" s="58"/>
      <c r="M88" s="58"/>
      <c r="N88" s="58"/>
      <c r="O88" s="56"/>
      <c r="P88" s="56"/>
      <c r="Q88" s="56"/>
      <c r="R88" s="56"/>
      <c r="S88" s="56"/>
      <c r="T88" s="56"/>
      <c r="U88" s="56"/>
      <c r="V88" s="56"/>
      <c r="W88" s="56"/>
      <c r="X88" s="56"/>
    </row>
    <row r="89" spans="2:24" s="47" customFormat="1">
      <c r="C89" s="48"/>
      <c r="G89" s="58"/>
      <c r="H89" s="56"/>
      <c r="I89" s="56"/>
      <c r="J89" s="56"/>
      <c r="K89" s="58"/>
      <c r="L89" s="58"/>
      <c r="M89" s="58"/>
      <c r="N89" s="58"/>
      <c r="O89" s="56"/>
      <c r="P89" s="56"/>
      <c r="Q89" s="56"/>
      <c r="R89" s="56"/>
      <c r="S89" s="56"/>
      <c r="T89" s="56"/>
      <c r="U89" s="56"/>
      <c r="V89" s="56"/>
      <c r="W89" s="56"/>
      <c r="X89" s="56"/>
    </row>
    <row r="90" spans="2:24">
      <c r="B90" s="63"/>
      <c r="C90" s="48"/>
      <c r="D90" s="63"/>
      <c r="E90" s="63"/>
      <c r="F90" s="68"/>
      <c r="G90" s="68"/>
      <c r="H90" s="68"/>
      <c r="J90" s="68"/>
      <c r="K90" s="68"/>
      <c r="P90" s="68"/>
      <c r="Q90" s="68"/>
    </row>
    <row r="91" spans="2:24">
      <c r="B91" s="63"/>
      <c r="C91" s="48"/>
      <c r="D91" s="63"/>
      <c r="E91" s="63"/>
      <c r="F91" s="68"/>
      <c r="G91" s="68"/>
      <c r="H91" s="68"/>
      <c r="J91" s="68"/>
      <c r="K91" s="68"/>
      <c r="P91" s="68"/>
      <c r="Q91" s="68"/>
    </row>
    <row r="92" spans="2:24">
      <c r="B92" s="63"/>
      <c r="C92" s="48"/>
      <c r="D92" s="63"/>
      <c r="E92" s="63"/>
      <c r="F92" s="68"/>
      <c r="G92" s="68"/>
      <c r="H92" s="68"/>
      <c r="J92" s="68"/>
      <c r="K92" s="68"/>
      <c r="P92" s="68"/>
      <c r="Q92" s="68"/>
    </row>
    <row r="93" spans="2:24" s="47" customFormat="1">
      <c r="C93" s="48"/>
      <c r="F93" s="68"/>
      <c r="J93" s="68"/>
      <c r="K93" s="68"/>
      <c r="P93" s="68"/>
      <c r="Q93" s="68"/>
    </row>
    <row r="94" spans="2:24" s="47" customFormat="1">
      <c r="C94" s="48"/>
      <c r="F94" s="68"/>
      <c r="J94" s="68"/>
      <c r="K94" s="68"/>
      <c r="P94" s="68"/>
      <c r="Q94" s="68"/>
    </row>
    <row r="108" spans="2:2">
      <c r="B108" s="54" t="s">
        <v>146</v>
      </c>
    </row>
    <row r="112" spans="2:2">
      <c r="B112" s="77"/>
    </row>
    <row r="113" spans="2:24">
      <c r="B113" s="77"/>
    </row>
    <row r="115" spans="2:24" ht="42.75" customHeight="1">
      <c r="B115" s="73" t="s">
        <v>61</v>
      </c>
      <c r="C115" s="73" t="s">
        <v>62</v>
      </c>
      <c r="D115" s="73" t="s">
        <v>63</v>
      </c>
      <c r="E115" s="73" t="s">
        <v>5</v>
      </c>
      <c r="G115" s="55" t="s">
        <v>64</v>
      </c>
      <c r="H115" s="55" t="s">
        <v>153</v>
      </c>
      <c r="I115" s="55" t="s">
        <v>154</v>
      </c>
      <c r="J115" s="55" t="s">
        <v>67</v>
      </c>
      <c r="K115" s="55" t="s">
        <v>68</v>
      </c>
      <c r="L115" s="55" t="s">
        <v>69</v>
      </c>
      <c r="M115" s="55" t="s">
        <v>70</v>
      </c>
      <c r="N115" s="55" t="s">
        <v>71</v>
      </c>
      <c r="O115" s="55" t="s">
        <v>72</v>
      </c>
      <c r="P115" s="55" t="s">
        <v>73</v>
      </c>
      <c r="Q115" s="55" t="s">
        <v>74</v>
      </c>
      <c r="R115" s="55" t="s">
        <v>75</v>
      </c>
      <c r="S115" s="55" t="s">
        <v>76</v>
      </c>
      <c r="T115" s="55" t="s">
        <v>77</v>
      </c>
      <c r="U115" s="55" t="s">
        <v>155</v>
      </c>
      <c r="V115" s="55" t="s">
        <v>78</v>
      </c>
      <c r="W115" s="55" t="s">
        <v>161</v>
      </c>
      <c r="X115" s="55" t="s">
        <v>5</v>
      </c>
    </row>
    <row r="116" spans="2:24" ht="66.150000000000006" customHeight="1">
      <c r="B116" s="74" t="s">
        <v>62</v>
      </c>
      <c r="C116" s="56" t="s">
        <v>173</v>
      </c>
      <c r="D116" s="57" t="str">
        <f>IFERROR(VLOOKUP(C116,HiddenSheet!$H$4:$N$35,7,FALSE()),"")</f>
        <v/>
      </c>
      <c r="E116" s="62"/>
      <c r="G116" s="58"/>
      <c r="H116" s="58"/>
      <c r="I116" s="58"/>
      <c r="J116" s="56"/>
      <c r="K116" s="58"/>
      <c r="L116" s="58"/>
      <c r="M116" s="58"/>
      <c r="N116" s="58"/>
      <c r="O116" s="56"/>
      <c r="P116" s="56"/>
      <c r="Q116" s="56"/>
      <c r="R116" s="56"/>
      <c r="S116" s="56"/>
      <c r="T116" s="56"/>
      <c r="U116" s="56"/>
      <c r="V116" s="56"/>
      <c r="W116" s="56"/>
      <c r="X116" s="56"/>
    </row>
    <row r="117" spans="2:24" ht="66.150000000000006" customHeight="1">
      <c r="B117" s="74" t="s">
        <v>102</v>
      </c>
      <c r="C117" s="62" t="s">
        <v>162</v>
      </c>
      <c r="D117" s="57" t="str">
        <f>IFERROR(VLOOKUP(C117,HiddenSheet!$C$256:$D$257,2,FALSE()),"")</f>
        <v>Data is transmitted from the device upstream to the application or server.</v>
      </c>
      <c r="E117" s="62"/>
      <c r="G117" s="58"/>
      <c r="H117" s="58"/>
      <c r="I117" s="58"/>
      <c r="J117" s="56"/>
      <c r="K117" s="58"/>
      <c r="L117" s="58"/>
      <c r="M117" s="58"/>
      <c r="N117" s="58"/>
      <c r="O117" s="56"/>
      <c r="P117" s="56"/>
      <c r="Q117" s="56"/>
      <c r="R117" s="56"/>
      <c r="S117" s="56"/>
      <c r="T117" s="56"/>
      <c r="U117" s="56"/>
      <c r="V117" s="56"/>
      <c r="W117" s="56"/>
      <c r="X117" s="56"/>
    </row>
    <row r="118" spans="2:24" ht="66.150000000000006" customHeight="1">
      <c r="B118" s="74" t="s">
        <v>91</v>
      </c>
      <c r="C118" s="59" t="s">
        <v>148</v>
      </c>
      <c r="D118" s="57" t="str">
        <f>IFERROR(VLOOKUP(C118,HiddenSheet!$C$226:$D$268,2,FALSE()),"")</f>
        <v>This frame is sent when an error is detected, indicating an issue or exception has occurred, and may include error codes or diagnostic details. It can originate from any participant in the communication process (application, server, or device).</v>
      </c>
      <c r="E118" s="62"/>
      <c r="G118" s="58"/>
      <c r="H118" s="58"/>
      <c r="I118" s="58"/>
      <c r="J118" s="56"/>
      <c r="K118" s="58"/>
      <c r="L118" s="58"/>
      <c r="M118" s="58"/>
      <c r="N118" s="58"/>
      <c r="O118" s="56"/>
      <c r="P118" s="56"/>
      <c r="Q118" s="56"/>
      <c r="R118" s="56"/>
      <c r="S118" s="56"/>
      <c r="T118" s="56"/>
      <c r="U118" s="56"/>
      <c r="V118" s="56"/>
      <c r="W118" s="56"/>
      <c r="X118" s="56"/>
    </row>
    <row r="119" spans="2:24" ht="66.150000000000006" customHeight="1">
      <c r="B119" s="74" t="s">
        <v>109</v>
      </c>
      <c r="C119" s="62">
        <v>5</v>
      </c>
      <c r="D119" s="61" t="s">
        <v>110</v>
      </c>
      <c r="E119" s="62"/>
      <c r="G119" s="58"/>
      <c r="H119" s="58"/>
      <c r="I119" s="58"/>
      <c r="J119" s="56"/>
      <c r="K119" s="58"/>
      <c r="L119" s="58"/>
      <c r="M119" s="58"/>
      <c r="N119" s="58"/>
      <c r="O119" s="56"/>
      <c r="P119" s="56"/>
      <c r="Q119" s="56"/>
      <c r="R119" s="56"/>
      <c r="S119" s="56"/>
      <c r="T119" s="56"/>
      <c r="U119" s="56"/>
      <c r="V119" s="56"/>
      <c r="W119" s="56"/>
      <c r="X119" s="56"/>
    </row>
    <row r="120" spans="2:24" ht="66.150000000000006" customHeight="1">
      <c r="B120" s="74" t="s">
        <v>87</v>
      </c>
      <c r="C120" s="60" t="s">
        <v>164</v>
      </c>
      <c r="D120" s="57" t="str">
        <f>IFERROR(VLOOKUP(C120,HiddenSheet!$B$277:$C$291,2,FALSE()),"")</f>
        <v>An action or sends a frame after it receives a frame.</v>
      </c>
      <c r="E120" s="62"/>
      <c r="G120" s="58"/>
      <c r="H120" s="58"/>
      <c r="I120" s="58"/>
      <c r="J120" s="56"/>
      <c r="K120" s="58"/>
      <c r="L120" s="58"/>
      <c r="M120" s="58"/>
      <c r="N120" s="58"/>
      <c r="O120" s="56"/>
      <c r="P120" s="56"/>
      <c r="Q120" s="56"/>
      <c r="R120" s="56"/>
      <c r="S120" s="56"/>
      <c r="T120" s="56"/>
      <c r="U120" s="56"/>
      <c r="V120" s="56"/>
      <c r="W120" s="56"/>
      <c r="X120" s="56"/>
    </row>
    <row r="121" spans="2:24" ht="66.150000000000006" customHeight="1">
      <c r="B121" s="74" t="s">
        <v>112</v>
      </c>
      <c r="C121" s="75"/>
      <c r="D121" s="65" t="s">
        <v>113</v>
      </c>
      <c r="E121" s="75"/>
      <c r="G121" s="58"/>
      <c r="H121" s="58"/>
      <c r="I121" s="58"/>
      <c r="J121" s="56"/>
      <c r="K121" s="58"/>
      <c r="L121" s="58"/>
      <c r="M121" s="58"/>
      <c r="N121" s="58"/>
      <c r="O121" s="56"/>
      <c r="P121" s="56"/>
      <c r="Q121" s="56"/>
      <c r="R121" s="56"/>
      <c r="S121" s="56"/>
      <c r="T121" s="56"/>
      <c r="U121" s="56"/>
      <c r="V121" s="56"/>
      <c r="W121" s="56"/>
      <c r="X121" s="56"/>
    </row>
    <row r="122" spans="2:24" ht="66.150000000000006" customHeight="1">
      <c r="B122" s="74" t="s">
        <v>117</v>
      </c>
      <c r="C122" s="75"/>
      <c r="D122" s="61" t="s">
        <v>118</v>
      </c>
      <c r="E122" s="75"/>
      <c r="G122" s="58"/>
      <c r="H122" s="58"/>
      <c r="I122" s="58"/>
      <c r="J122" s="56"/>
      <c r="K122" s="58"/>
      <c r="L122" s="58"/>
      <c r="M122" s="58"/>
      <c r="N122" s="58"/>
      <c r="O122" s="56"/>
      <c r="P122" s="56"/>
      <c r="Q122" s="56"/>
      <c r="R122" s="56"/>
      <c r="S122" s="56"/>
      <c r="T122" s="56"/>
      <c r="U122" s="56"/>
      <c r="V122" s="56"/>
      <c r="W122" s="56"/>
      <c r="X122" s="56"/>
    </row>
    <row r="123" spans="2:24" ht="66.150000000000006" customHeight="1">
      <c r="B123" s="76" t="s">
        <v>120</v>
      </c>
      <c r="C123" s="75"/>
      <c r="D123" s="61" t="s">
        <v>121</v>
      </c>
      <c r="E123" s="75"/>
      <c r="G123" s="58"/>
      <c r="H123" s="58"/>
      <c r="I123" s="58"/>
      <c r="J123" s="56"/>
      <c r="K123" s="58"/>
      <c r="L123" s="58"/>
      <c r="M123" s="58"/>
      <c r="N123" s="58"/>
      <c r="O123" s="56"/>
      <c r="P123" s="56"/>
      <c r="Q123" s="56"/>
      <c r="R123" s="56"/>
      <c r="S123" s="56"/>
      <c r="T123" s="56"/>
      <c r="U123" s="56"/>
      <c r="V123" s="56"/>
      <c r="W123" s="56"/>
      <c r="X123" s="56"/>
    </row>
    <row r="124" spans="2:24" ht="66.150000000000006" customHeight="1">
      <c r="B124" s="63"/>
      <c r="C124" s="48"/>
      <c r="D124" s="63"/>
      <c r="E124" s="63"/>
      <c r="G124" s="58"/>
      <c r="H124" s="58"/>
      <c r="I124" s="58"/>
      <c r="J124" s="56"/>
      <c r="K124" s="58"/>
      <c r="L124" s="58"/>
      <c r="M124" s="58"/>
      <c r="N124" s="58"/>
      <c r="O124" s="56"/>
      <c r="P124" s="56"/>
      <c r="Q124" s="56"/>
      <c r="R124" s="56"/>
      <c r="S124" s="56"/>
      <c r="T124" s="56"/>
      <c r="U124" s="56"/>
      <c r="V124" s="56"/>
      <c r="W124" s="56"/>
      <c r="X124" s="56"/>
    </row>
    <row r="125" spans="2:24" ht="66.150000000000006" customHeight="1">
      <c r="B125" s="63"/>
      <c r="C125" s="48"/>
      <c r="D125" s="63"/>
      <c r="E125" s="63"/>
      <c r="G125" s="58"/>
      <c r="H125" s="58"/>
      <c r="I125" s="58"/>
      <c r="J125" s="56"/>
      <c r="K125" s="58"/>
      <c r="L125" s="58"/>
      <c r="M125" s="58"/>
      <c r="N125" s="58"/>
      <c r="O125" s="56"/>
      <c r="P125" s="56"/>
      <c r="Q125" s="56"/>
      <c r="R125" s="56"/>
      <c r="S125" s="56"/>
      <c r="T125" s="56"/>
      <c r="U125" s="56"/>
      <c r="V125" s="56"/>
      <c r="W125" s="56"/>
      <c r="X125" s="56"/>
    </row>
    <row r="126" spans="2:24" ht="66.150000000000006" customHeight="1">
      <c r="B126" s="63"/>
      <c r="C126" s="48"/>
      <c r="D126" s="63"/>
      <c r="E126" s="63"/>
      <c r="G126" s="58"/>
      <c r="H126" s="58"/>
      <c r="I126" s="58"/>
      <c r="J126" s="56"/>
      <c r="K126" s="58"/>
      <c r="L126" s="58"/>
      <c r="M126" s="58"/>
      <c r="N126" s="58"/>
      <c r="O126" s="56"/>
      <c r="P126" s="56"/>
      <c r="Q126" s="56"/>
      <c r="R126" s="56"/>
      <c r="S126" s="56"/>
      <c r="T126" s="56"/>
      <c r="U126" s="56"/>
      <c r="V126" s="56"/>
      <c r="W126" s="56"/>
      <c r="X126" s="56"/>
    </row>
    <row r="127" spans="2:24" ht="66.150000000000006" customHeight="1">
      <c r="B127" s="63"/>
      <c r="C127" s="48"/>
      <c r="D127" s="63"/>
      <c r="E127" s="63"/>
      <c r="G127" s="58"/>
      <c r="H127" s="58"/>
      <c r="I127" s="58"/>
      <c r="J127" s="56"/>
      <c r="K127" s="58"/>
      <c r="L127" s="58"/>
      <c r="M127" s="58"/>
      <c r="N127" s="58"/>
      <c r="O127" s="56"/>
      <c r="P127" s="56"/>
      <c r="Q127" s="56"/>
      <c r="R127" s="56"/>
      <c r="S127" s="56"/>
      <c r="T127" s="56"/>
      <c r="U127" s="56"/>
      <c r="V127" s="56"/>
      <c r="W127" s="56"/>
      <c r="X127" s="56"/>
    </row>
    <row r="128" spans="2:24" ht="66.150000000000006" customHeight="1">
      <c r="B128" s="63"/>
      <c r="C128" s="48"/>
      <c r="D128" s="63"/>
      <c r="E128" s="63"/>
      <c r="G128" s="58"/>
      <c r="H128" s="58"/>
      <c r="I128" s="58"/>
      <c r="J128" s="56"/>
      <c r="K128" s="58"/>
      <c r="L128" s="58"/>
      <c r="M128" s="58"/>
      <c r="N128" s="58"/>
      <c r="O128" s="56"/>
      <c r="P128" s="56"/>
      <c r="Q128" s="56"/>
      <c r="R128" s="56"/>
      <c r="S128" s="56"/>
      <c r="T128" s="56"/>
      <c r="U128" s="56"/>
      <c r="V128" s="56"/>
      <c r="W128" s="56"/>
      <c r="X128" s="56"/>
    </row>
    <row r="129" spans="2:24" s="47" customFormat="1" ht="66.150000000000006" customHeight="1">
      <c r="C129" s="48"/>
      <c r="G129" s="58"/>
      <c r="H129" s="56"/>
      <c r="I129" s="56"/>
      <c r="J129" s="56"/>
      <c r="K129" s="58"/>
      <c r="L129" s="58"/>
      <c r="M129" s="58"/>
      <c r="N129" s="58"/>
      <c r="O129" s="56"/>
      <c r="P129" s="56"/>
      <c r="Q129" s="56"/>
      <c r="R129" s="56"/>
      <c r="S129" s="56"/>
      <c r="T129" s="56"/>
      <c r="U129" s="56"/>
      <c r="V129" s="56"/>
      <c r="W129" s="56"/>
      <c r="X129" s="56"/>
    </row>
    <row r="130" spans="2:24" s="47" customFormat="1" ht="66.150000000000006" customHeight="1">
      <c r="C130" s="48"/>
      <c r="G130" s="58"/>
      <c r="H130" s="56"/>
      <c r="I130" s="56"/>
      <c r="J130" s="56"/>
      <c r="K130" s="58"/>
      <c r="L130" s="58"/>
      <c r="M130" s="58"/>
      <c r="N130" s="58"/>
      <c r="O130" s="56"/>
      <c r="P130" s="56"/>
      <c r="Q130" s="56"/>
      <c r="R130" s="56"/>
      <c r="S130" s="56"/>
      <c r="T130" s="56"/>
      <c r="U130" s="56"/>
      <c r="V130" s="56"/>
      <c r="W130" s="56"/>
      <c r="X130" s="56"/>
    </row>
    <row r="131" spans="2:24" s="47" customFormat="1">
      <c r="B131" s="68"/>
      <c r="C131" s="48"/>
      <c r="E131" s="63"/>
      <c r="F131" s="68"/>
      <c r="G131" s="68"/>
      <c r="H131" s="68"/>
      <c r="J131" s="68"/>
      <c r="K131" s="68"/>
      <c r="P131" s="68"/>
      <c r="Q131" s="68"/>
    </row>
    <row r="132" spans="2:24">
      <c r="B132" s="63"/>
      <c r="C132" s="48"/>
      <c r="D132" s="63"/>
      <c r="E132" s="63"/>
      <c r="F132" s="68"/>
      <c r="G132" s="68"/>
      <c r="H132" s="68"/>
      <c r="J132" s="68"/>
      <c r="K132" s="68"/>
      <c r="P132" s="68"/>
      <c r="Q132" s="68"/>
    </row>
    <row r="133" spans="2:24">
      <c r="B133" s="63"/>
      <c r="C133" s="48"/>
      <c r="D133" s="63"/>
      <c r="E133" s="63"/>
      <c r="F133" s="68"/>
      <c r="G133" s="68"/>
      <c r="H133" s="68"/>
      <c r="J133" s="68"/>
      <c r="K133" s="68"/>
      <c r="P133" s="68"/>
      <c r="Q133" s="68"/>
    </row>
    <row r="134" spans="2:24">
      <c r="B134" s="63"/>
      <c r="C134" s="48"/>
      <c r="D134" s="63"/>
      <c r="E134" s="63"/>
      <c r="F134" s="68"/>
      <c r="G134" s="68"/>
      <c r="H134" s="68"/>
      <c r="J134" s="68"/>
      <c r="K134" s="68"/>
      <c r="P134" s="68"/>
      <c r="Q134" s="68"/>
    </row>
    <row r="135" spans="2:24">
      <c r="B135" s="63"/>
      <c r="C135" s="48"/>
      <c r="D135" s="63"/>
      <c r="E135" s="63"/>
      <c r="F135" s="68"/>
      <c r="G135" s="68"/>
      <c r="H135" s="68"/>
      <c r="J135" s="68"/>
      <c r="K135" s="68"/>
      <c r="P135" s="68"/>
      <c r="Q135" s="68"/>
    </row>
    <row r="136" spans="2:24">
      <c r="B136" s="63"/>
      <c r="C136" s="48"/>
      <c r="D136" s="63"/>
      <c r="E136" s="63"/>
      <c r="F136" s="68"/>
      <c r="G136" s="68"/>
      <c r="H136" s="68"/>
      <c r="J136" s="68"/>
      <c r="K136" s="68"/>
      <c r="P136" s="68"/>
      <c r="Q136" s="68"/>
    </row>
    <row r="137" spans="2:24">
      <c r="B137" s="63"/>
      <c r="C137" s="48"/>
      <c r="D137" s="63"/>
      <c r="E137" s="63"/>
      <c r="F137" s="68"/>
      <c r="G137" s="68"/>
      <c r="H137" s="68"/>
      <c r="J137" s="68"/>
      <c r="K137" s="68"/>
      <c r="P137" s="68"/>
      <c r="Q137" s="68"/>
    </row>
    <row r="138" spans="2:24">
      <c r="B138" s="63"/>
      <c r="C138" s="48"/>
      <c r="D138" s="63"/>
      <c r="E138" s="63"/>
      <c r="F138" s="68"/>
      <c r="G138" s="68"/>
      <c r="H138" s="68"/>
      <c r="J138" s="68"/>
      <c r="K138" s="68"/>
      <c r="P138" s="68"/>
      <c r="Q138" s="68"/>
    </row>
    <row r="139" spans="2:24">
      <c r="B139" s="63"/>
      <c r="C139" s="48"/>
      <c r="D139" s="63"/>
      <c r="E139" s="63"/>
      <c r="F139" s="68"/>
      <c r="G139" s="68"/>
      <c r="H139" s="68"/>
      <c r="J139" s="68"/>
      <c r="K139" s="68"/>
      <c r="P139" s="68"/>
      <c r="Q139" s="68"/>
    </row>
    <row r="140" spans="2:24" s="47" customFormat="1">
      <c r="C140" s="48"/>
      <c r="F140" s="68"/>
      <c r="J140" s="68"/>
      <c r="K140" s="68"/>
      <c r="P140" s="68"/>
      <c r="Q140" s="68"/>
    </row>
    <row r="141" spans="2:24" s="47" customFormat="1">
      <c r="C141" s="48"/>
      <c r="F141" s="68"/>
      <c r="J141" s="68"/>
      <c r="K141" s="68"/>
      <c r="P141" s="68"/>
      <c r="Q141" s="68"/>
    </row>
    <row r="143" spans="2:24" s="47" customFormat="1"/>
    <row r="144" spans="2:24" s="47" customFormat="1"/>
    <row r="145" s="47" customFormat="1"/>
    <row r="146" s="47" customFormat="1"/>
    <row r="147" s="47" customFormat="1"/>
    <row r="148" s="47" customFormat="1"/>
    <row r="149" s="47" customFormat="1"/>
    <row r="150" s="47" customFormat="1"/>
    <row r="151" s="47" customFormat="1"/>
    <row r="152" s="47" customFormat="1"/>
    <row r="153" s="47" customFormat="1"/>
    <row r="154" s="47" customFormat="1"/>
    <row r="155" s="47" customFormat="1"/>
    <row r="156" s="47" customFormat="1"/>
    <row r="157" s="47" customFormat="1"/>
    <row r="158" s="47" customFormat="1"/>
    <row r="159" s="47" customFormat="1"/>
    <row r="160" s="47" customFormat="1"/>
    <row r="161" s="47" customFormat="1"/>
    <row r="237" spans="2:2">
      <c r="B237" s="77"/>
    </row>
    <row r="244" spans="2:9">
      <c r="C244" s="68"/>
      <c r="E244" s="63"/>
      <c r="F244" s="63"/>
    </row>
    <row r="245" spans="2:9">
      <c r="B245" s="68"/>
      <c r="C245" s="63"/>
      <c r="D245" s="79"/>
      <c r="E245" s="63"/>
      <c r="F245" s="63"/>
    </row>
    <row r="248" spans="2:9">
      <c r="B248" s="68"/>
      <c r="D248" s="69"/>
      <c r="E248" s="68"/>
      <c r="F248" s="68"/>
      <c r="H248" s="68"/>
      <c r="I248" s="68"/>
    </row>
    <row r="249" spans="2:9">
      <c r="B249" s="68"/>
      <c r="D249" s="69"/>
      <c r="E249" s="68"/>
      <c r="F249" s="68"/>
      <c r="H249" s="68"/>
      <c r="I249" s="68"/>
    </row>
    <row r="250" spans="2:9">
      <c r="B250" s="68"/>
      <c r="D250" s="69"/>
      <c r="E250" s="68"/>
      <c r="F250" s="68"/>
      <c r="H250" s="68"/>
      <c r="I250" s="68"/>
    </row>
    <row r="251" spans="2:9">
      <c r="B251" s="68"/>
      <c r="D251" s="69"/>
      <c r="E251" s="68"/>
      <c r="F251" s="68"/>
      <c r="H251" s="68"/>
      <c r="I251" s="68"/>
    </row>
    <row r="252" spans="2:9">
      <c r="B252" s="68"/>
      <c r="D252" s="69"/>
      <c r="E252" s="68"/>
      <c r="F252" s="68"/>
      <c r="H252" s="68"/>
      <c r="I252" s="68"/>
    </row>
    <row r="253" spans="2:9">
      <c r="B253" s="68"/>
      <c r="D253" s="69"/>
      <c r="E253" s="68"/>
      <c r="F253" s="68"/>
      <c r="H253" s="68"/>
      <c r="I253" s="68"/>
    </row>
    <row r="254" spans="2:9">
      <c r="B254" s="68"/>
      <c r="D254" s="69"/>
      <c r="E254" s="68"/>
      <c r="F254" s="68"/>
      <c r="H254" s="68"/>
      <c r="I254" s="68"/>
    </row>
    <row r="255" spans="2:9">
      <c r="B255" s="68"/>
      <c r="D255" s="69"/>
      <c r="E255" s="68"/>
      <c r="F255" s="68"/>
      <c r="H255" s="68"/>
      <c r="I255" s="68"/>
    </row>
    <row r="256" spans="2:9">
      <c r="B256" s="68"/>
      <c r="D256" s="69"/>
      <c r="E256" s="68"/>
      <c r="F256" s="68"/>
      <c r="H256" s="68"/>
      <c r="I256" s="68"/>
    </row>
    <row r="257" spans="2:9">
      <c r="B257" s="68"/>
      <c r="D257" s="69"/>
      <c r="E257" s="68"/>
      <c r="F257" s="68"/>
      <c r="H257" s="68"/>
      <c r="I257" s="68"/>
    </row>
    <row r="258" spans="2:9">
      <c r="B258" s="68"/>
      <c r="D258" s="69"/>
      <c r="E258" s="68"/>
      <c r="F258" s="68"/>
      <c r="H258" s="68"/>
      <c r="I258" s="68"/>
    </row>
    <row r="259" spans="2:9">
      <c r="B259" s="68"/>
      <c r="D259" s="69"/>
      <c r="E259" s="68"/>
      <c r="F259" s="68"/>
      <c r="H259" s="68"/>
      <c r="I259" s="68"/>
    </row>
    <row r="260" spans="2:9">
      <c r="B260" s="68"/>
      <c r="D260" s="69"/>
      <c r="E260" s="68"/>
      <c r="F260" s="68"/>
      <c r="H260" s="68"/>
      <c r="I260" s="68"/>
    </row>
  </sheetData>
  <mergeCells count="2">
    <mergeCell ref="D2:D3"/>
    <mergeCell ref="B2:C3"/>
  </mergeCells>
  <dataValidations count="21">
    <dataValidation allowBlank="1" showInputMessage="1" showErrorMessage="1" promptTitle="Start Byte:" prompt="The starting byte index within the frame for a given field." sqref="H7 H74 H115"/>
    <dataValidation allowBlank="1" showInputMessage="1" showErrorMessage="1" promptTitle="End Byte:" prompt="The ending byte index within the frame for a given field." sqref="I7:J7 I74:J74 I115:J115"/>
    <dataValidation allowBlank="1" showInputMessage="1" showErrorMessage="1" promptTitle="Number of Bytes:" prompt="The total number of bytes that the field occupies within the frame." sqref="K7 K74 K115"/>
    <dataValidation allowBlank="1" showInputMessage="1" showErrorMessage="1" promptTitle="Bit Size:" prompt="The size of the field in bits, which is particularly relevant for fields that do not align to full byte boundaries." sqref="L7 L74 L115"/>
    <dataValidation allowBlank="1" showInputMessage="1" showErrorMessage="1" promptTitle="DataType:" prompt="The type of data (e.g., integer, float, string) expected within the field." sqref="M7 M74 M115"/>
    <dataValidation allowBlank="1" showInputMessage="1" showErrorMessage="1" promptTitle="Value Definition:" prompt="A description of what the field represents, such as a range of values, fixed values, or identifiers." sqref="N7 N74 N115"/>
    <dataValidation allowBlank="1" showInputMessage="1" showErrorMessage="1" promptTitle="Display Value (Min):" prompt="The minimum value that can be displayed or represented for the field." sqref="O7 O74 O115"/>
    <dataValidation allowBlank="1" showInputMessage="1" showErrorMessage="1" promptTitle="Display Value (Max):" prompt="The maximum value that can be displayed or represented for the field." sqref="P7 P74 P115"/>
    <dataValidation allowBlank="1" showInputMessage="1" showErrorMessage="1" promptTitle="Value in Hex (Min):" prompt="The minimum value of the field expressed in hexadecimal format." sqref="Q7 Q74 Q115"/>
    <dataValidation allowBlank="1" showInputMessage="1" showErrorMessage="1" promptTitle="Value in Hex(Max)" prompt=" The maximum value of the field expressed in hexadecimal format." sqref="R7 R74 R115"/>
    <dataValidation allowBlank="1" showInputMessage="1" showErrorMessage="1" promptTitle="UI Type:" prompt="The type of user interface element that should be used to display or input the field's data (e.g., slider, toggle switch)." sqref="S7 S74 S115"/>
    <dataValidation allowBlank="1" showInputMessage="1" showErrorMessage="1" promptTitle="UI id:" prompt="A unique identifier for the UI element corresponding to the field." sqref="T7 T74 T115"/>
    <dataValidation allowBlank="1" showInputMessage="1" showErrorMessage="1" promptTitle="UI Page Number" prompt="Page Number where this UI should place" sqref="U7 U74 U115"/>
    <dataValidation allowBlank="1" showInputMessage="1" showErrorMessage="1" promptTitle="UI description IN/OUT" prompt="Describes whether the UI element is for input, output, or both." sqref="V7 V74 V115"/>
    <dataValidation allowBlank="1" showInputMessage="1" showErrorMessage="1" promptTitle="Slider Step Value" prompt="Slider increment/decrement step value" sqref="W7 W74 W115"/>
    <dataValidation allowBlank="1" showInputMessage="1" showErrorMessage="1" promptTitle="NOTES" prompt="Any additional notes for developers regarding the implementation or handling of the field." sqref="X7 X74 X115"/>
    <dataValidation allowBlank="1" showInputMessage="1" showErrorMessage="1" promptTitle="Frame Trigger:" prompt="Indicates what event or action triggers the transmission of the frame." sqref="B12 B79 B120"/>
    <dataValidation allowBlank="1" showInputMessage="1" showErrorMessage="1" promptTitle="Voice Control Instruction Text:" prompt="Likely pertains to the specific text associated with a voice command." sqref="B15 B81 B122"/>
    <dataValidation allowBlank="1" showInputMessage="1" showErrorMessage="1" promptTitle="Voice Command: " prompt="Indicates whether the frame is related to a voice command." sqref="B80 B121 B13:B14"/>
    <dataValidation allowBlank="1" showInputMessage="1" showErrorMessage="1" promptTitle="App Notification: " prompt="Specifies whether the frame is related to an application notification." sqref="B82 B123 B16:B20"/>
    <dataValidation allowBlank="1" showInputMessage="1" showErrorMessage="1" promptTitle="Parameter Name" prompt="Typically used to identify the purpose of the parameter. " sqref="B8:B11 B75:B78 B116:B119"/>
  </dataValidations>
  <pageMargins left="0.7" right="0.7" top="0.75" bottom="0.75" header="0.511811023622047" footer="0.511811023622047"/>
  <pageSetup orientation="portrait" horizontalDpi="300" verticalDpi="300"/>
  <extLst>
    <ext xmlns:x14="http://schemas.microsoft.com/office/spreadsheetml/2009/9/main" uri="{CCE6A557-97BC-4b89-ADB6-D9C93CAAB3DF}">
      <x14:dataValidations xmlns:xm="http://schemas.microsoft.com/office/excel/2006/main" count="12">
        <x14:dataValidation type="list" allowBlank="1" showInputMessage="1" showErrorMessage="1">
          <x14:formula1>
            <xm:f>HiddenSheet!$D$340:$D$345</xm:f>
          </x14:formula1>
          <xm:sqref>N8 N10 N77 N19:N22 N86:N89 N127:N130</xm:sqref>
        </x14:dataValidation>
        <x14:dataValidation type="list" allowBlank="1" showInputMessage="1" showErrorMessage="1">
          <x14:formula1>
            <xm:f>HiddenSheet!$C$256:$C$257</xm:f>
          </x14:formula1>
          <xm:sqref>C9 C76 C117</xm:sqref>
        </x14:dataValidation>
        <x14:dataValidation type="list" allowBlank="1" showInputMessage="1" showErrorMessage="1">
          <x14:formula1>
            <xm:f>HiddenSheet!$D$341:$D$344</xm:f>
          </x14:formula1>
          <xm:sqref>N9 G25:G26 N13:N18 N75:N76 N80:N85 N116:N126</xm:sqref>
        </x14:dataValidation>
        <x14:dataValidation type="list" allowBlank="1" showInputMessage="1" showErrorMessage="1">
          <x14:formula1>
            <xm:f>HiddenSheet!$B$277:$B$292</xm:f>
          </x14:formula1>
          <xm:sqref>S9 W9 C12 W76 C79 W117 C120 S75:S76 S116:S117</xm:sqref>
        </x14:dataValidation>
        <x14:dataValidation type="list" allowBlank="1" showInputMessage="1" showErrorMessage="1">
          <x14:formula1>
            <xm:f>HiddenSheet!$B$54:$B$134</xm:f>
          </x14:formula1>
          <xm:sqref>C11 C78 C119 F25:F26 G21:G22 G88:G89 G129:G130 K8:K10 K13:K22 K75:K77 K80:K89 K116:K130 B23:D26 F23:H24 G8:I10 G12:I20 G75:I77 G79:I87 G116:I128</xm:sqref>
        </x14:dataValidation>
        <x14:dataValidation type="list" allowBlank="1" showInputMessage="1" showErrorMessage="1">
          <x14:formula1>
            <xm:f>HiddenSheet!$G$340:$G$341</xm:f>
          </x14:formula1>
          <xm:sqref>C80 C82 C121 C123 B83:B87 B124:B128 C13:C14 C16:C20</xm:sqref>
        </x14:dataValidation>
        <x14:dataValidation type="list" allowBlank="1" showInputMessage="1" showErrorMessage="1">
          <x14:formula1>
            <xm:f>HiddenSheet!$E$341:$E$343</xm:f>
          </x14:formula1>
          <xm:sqref>V116 V8:V10 V13:V21 V75:V77 U80:V88 U117:V129</xm:sqref>
        </x14:dataValidation>
        <x14:dataValidation type="list" allowBlank="1" showInputMessage="1" showErrorMessage="1">
          <x14:formula1>
            <xm:f>HiddenSheet!$C$190:$C$210</xm:f>
          </x14:formula1>
          <xm:sqref>E23:E26</xm:sqref>
        </x14:dataValidation>
        <x14:dataValidation type="list" allowBlank="1" showInputMessage="1" showErrorMessage="1">
          <x14:formula1>
            <xm:f>HiddenSheet!$C$190:$C$198</xm:f>
          </x14:formula1>
          <xm:sqref>J8:J10 J13:J22 J75:J77 J80:J89 J116:J130</xm:sqref>
        </x14:dataValidation>
        <x14:dataValidation type="list" allowBlank="1" showInputMessage="1" showErrorMessage="1">
          <x14:formula1>
            <xm:f>HiddenSheet!$B$341:$B$344</xm:f>
          </x14:formula1>
          <xm:sqref>L8:L10 L13:L22 L25:L26 L75:L77 L80:L89 L116:L130</xm:sqref>
        </x14:dataValidation>
        <x14:dataValidation type="list" allowBlank="1" showInputMessage="1" showErrorMessage="1">
          <x14:formula1>
            <xm:f>HiddenSheet!$D$54:$D$58</xm:f>
          </x14:formula1>
          <xm:sqref>M8:M10 M13:M22 M25:M26 M75:M77 M80:M89 M116:M130</xm:sqref>
        </x14:dataValidation>
        <x14:dataValidation type="list" allowBlank="1" showInputMessage="1" showErrorMessage="1">
          <x14:formula1>
            <xm:f>HiddenSheet!$B$277:$B$290</xm:f>
          </x14:formula1>
          <xm:sqref>N25:N26 S13:S21 S80:S88 S118:S129 W13:W21 W80:W88 W118:W129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MJ257"/>
  <sheetViews>
    <sheetView topLeftCell="G1" zoomScale="39" zoomScaleNormal="39" workbookViewId="0">
      <selection activeCell="X11" sqref="X11"/>
    </sheetView>
  </sheetViews>
  <sheetFormatPr defaultColWidth="8.6640625" defaultRowHeight="23.4"/>
  <cols>
    <col min="1" max="1" width="8.6640625" style="47"/>
    <col min="2" max="2" width="51.6640625" style="47" customWidth="1"/>
    <col min="3" max="3" width="35.44140625" style="47" customWidth="1"/>
    <col min="4" max="4" width="82" style="48" customWidth="1"/>
    <col min="5" max="5" width="36.21875" style="47" customWidth="1"/>
    <col min="6" max="7" width="8.88671875" style="47" customWidth="1"/>
    <col min="8" max="8" width="15.77734375" style="47" customWidth="1"/>
    <col min="9" max="9" width="18.21875" style="47" customWidth="1"/>
    <col min="10" max="10" width="27.6640625" style="47" customWidth="1"/>
    <col min="11" max="11" width="29.88671875" style="47" customWidth="1"/>
    <col min="12" max="12" width="26.88671875" style="47" customWidth="1"/>
    <col min="13" max="13" width="29.21875" style="47" customWidth="1"/>
    <col min="14" max="14" width="29.88671875" style="47" customWidth="1"/>
    <col min="15" max="15" width="22" style="47" customWidth="1"/>
    <col min="16" max="16" width="24.77734375" style="47" customWidth="1"/>
    <col min="17" max="17" width="16.88671875" style="47" customWidth="1"/>
    <col min="18" max="18" width="27" style="47" customWidth="1"/>
    <col min="19" max="19" width="28.5546875" style="47" customWidth="1"/>
    <col min="20" max="20" width="14.6640625" style="47" customWidth="1"/>
    <col min="21" max="22" width="23.33203125" style="47" customWidth="1"/>
    <col min="23" max="23" width="36.21875" style="47" customWidth="1"/>
    <col min="24" max="24" width="32.77734375" style="47" customWidth="1"/>
    <col min="25" max="25" width="44.33203125" style="47" customWidth="1"/>
    <col min="26" max="1024" width="8.6640625" style="47"/>
  </cols>
  <sheetData>
    <row r="2" spans="2:25" ht="23.25" customHeight="1">
      <c r="B2" s="135" t="s">
        <v>59</v>
      </c>
      <c r="C2" s="135"/>
      <c r="D2" s="134" t="s">
        <v>168</v>
      </c>
      <c r="F2" s="49"/>
      <c r="G2" s="50"/>
      <c r="H2" s="51"/>
      <c r="I2" s="70" t="s">
        <v>150</v>
      </c>
    </row>
    <row r="3" spans="2:25" ht="24" customHeight="1">
      <c r="B3" s="135"/>
      <c r="C3" s="135"/>
      <c r="D3" s="134"/>
      <c r="F3" s="52"/>
      <c r="G3" s="53"/>
      <c r="H3" s="53"/>
      <c r="I3" s="71" t="s">
        <v>151</v>
      </c>
    </row>
    <row r="5" spans="2:25">
      <c r="B5" s="54" t="s">
        <v>152</v>
      </c>
    </row>
    <row r="7" spans="2:25" ht="44.25" customHeight="1">
      <c r="B7" s="55" t="s">
        <v>61</v>
      </c>
      <c r="C7" s="55" t="s">
        <v>62</v>
      </c>
      <c r="D7" s="55" t="s">
        <v>63</v>
      </c>
      <c r="E7" s="55" t="s">
        <v>5</v>
      </c>
      <c r="G7" s="55" t="s">
        <v>64</v>
      </c>
      <c r="H7" s="55" t="s">
        <v>153</v>
      </c>
      <c r="I7" s="55" t="s">
        <v>154</v>
      </c>
      <c r="J7" s="55" t="s">
        <v>67</v>
      </c>
      <c r="K7" s="55" t="s">
        <v>68</v>
      </c>
      <c r="L7" s="55" t="s">
        <v>69</v>
      </c>
      <c r="M7" s="55" t="s">
        <v>70</v>
      </c>
      <c r="N7" s="55" t="s">
        <v>71</v>
      </c>
      <c r="O7" s="55" t="s">
        <v>72</v>
      </c>
      <c r="P7" s="55" t="s">
        <v>73</v>
      </c>
      <c r="Q7" s="55" t="s">
        <v>74</v>
      </c>
      <c r="R7" s="55" t="s">
        <v>75</v>
      </c>
      <c r="S7" s="55" t="s">
        <v>76</v>
      </c>
      <c r="T7" s="55" t="s">
        <v>77</v>
      </c>
      <c r="U7" s="55" t="s">
        <v>155</v>
      </c>
      <c r="V7" s="55" t="s">
        <v>78</v>
      </c>
      <c r="W7" s="55" t="s">
        <v>181</v>
      </c>
      <c r="X7" s="55" t="s">
        <v>182</v>
      </c>
      <c r="Y7" s="55" t="s">
        <v>5</v>
      </c>
    </row>
    <row r="8" spans="2:25" ht="84.75" customHeight="1">
      <c r="B8" s="49" t="s">
        <v>62</v>
      </c>
      <c r="C8" s="56" t="s">
        <v>176</v>
      </c>
      <c r="D8" s="74"/>
      <c r="E8" s="56"/>
      <c r="G8" s="58">
        <v>1</v>
      </c>
      <c r="H8" s="58">
        <v>1</v>
      </c>
      <c r="I8" s="58">
        <v>1</v>
      </c>
      <c r="J8" s="56" t="s">
        <v>82</v>
      </c>
      <c r="K8" s="58">
        <v>1</v>
      </c>
      <c r="L8" s="58">
        <v>8</v>
      </c>
      <c r="M8" s="58" t="s">
        <v>83</v>
      </c>
      <c r="N8" s="58" t="s">
        <v>84</v>
      </c>
      <c r="O8" s="56" t="s">
        <v>156</v>
      </c>
      <c r="P8" s="56"/>
      <c r="Q8" s="56" t="s">
        <v>86</v>
      </c>
      <c r="R8" s="56" t="s">
        <v>86</v>
      </c>
      <c r="S8" s="56"/>
      <c r="T8" s="56"/>
      <c r="U8" s="56"/>
      <c r="V8" s="56"/>
      <c r="W8" s="56"/>
      <c r="X8" s="56"/>
      <c r="Y8" s="56"/>
    </row>
    <row r="9" spans="2:25" ht="84.75" customHeight="1">
      <c r="B9" s="49" t="s">
        <v>102</v>
      </c>
      <c r="C9" s="56" t="s">
        <v>157</v>
      </c>
      <c r="D9" s="57" t="str">
        <f>IFERROR(VLOOKUP(C9,HiddenSheet!$C$256:$D$257,2,FALSE()),"")</f>
        <v>Data is transmitted from the application or server downstream to the device.</v>
      </c>
      <c r="E9" s="56"/>
      <c r="G9" s="58">
        <v>2</v>
      </c>
      <c r="H9" s="58">
        <v>2</v>
      </c>
      <c r="I9" s="58">
        <v>2</v>
      </c>
      <c r="J9" s="56" t="s">
        <v>89</v>
      </c>
      <c r="K9" s="58">
        <v>1</v>
      </c>
      <c r="L9" s="58">
        <v>8</v>
      </c>
      <c r="M9" s="58" t="s">
        <v>83</v>
      </c>
      <c r="N9" s="58" t="s">
        <v>84</v>
      </c>
      <c r="O9" s="56"/>
      <c r="P9" s="56"/>
      <c r="Q9" s="56" t="s">
        <v>183</v>
      </c>
      <c r="R9" s="56" t="s">
        <v>183</v>
      </c>
      <c r="S9" s="56"/>
      <c r="T9" s="56"/>
      <c r="U9" s="56"/>
      <c r="V9" s="56"/>
      <c r="W9" s="56"/>
      <c r="X9" s="56"/>
      <c r="Y9" s="56"/>
    </row>
    <row r="10" spans="2:25" ht="84.75" customHeight="1">
      <c r="B10" s="49" t="s">
        <v>91</v>
      </c>
      <c r="C10" s="59" t="s">
        <v>92</v>
      </c>
      <c r="D10" s="57" t="str">
        <f>IFERROR(VLOOKUP(C10,HiddenSheet!$C$226:$D$268,2,FALSE()),"")</f>
        <v>This frame is a command that can originate from the application, server, or device, used to initiate an action or request information.</v>
      </c>
      <c r="E10" s="56"/>
      <c r="G10" s="58">
        <v>3</v>
      </c>
      <c r="H10" s="58">
        <v>3</v>
      </c>
      <c r="I10" s="58">
        <v>3</v>
      </c>
      <c r="J10" s="56" t="s">
        <v>94</v>
      </c>
      <c r="K10" s="58">
        <v>1</v>
      </c>
      <c r="L10" s="58">
        <v>8</v>
      </c>
      <c r="M10" s="58" t="s">
        <v>83</v>
      </c>
      <c r="N10" s="58" t="s">
        <v>84</v>
      </c>
      <c r="O10" s="56" t="s">
        <v>177</v>
      </c>
      <c r="P10" s="56" t="s">
        <v>178</v>
      </c>
      <c r="Q10" s="56">
        <v>0</v>
      </c>
      <c r="R10" s="56">
        <v>1</v>
      </c>
      <c r="S10" s="56" t="s">
        <v>25</v>
      </c>
      <c r="T10" s="56">
        <v>1</v>
      </c>
      <c r="U10" s="56">
        <v>1</v>
      </c>
      <c r="V10" s="56" t="s">
        <v>158</v>
      </c>
      <c r="W10" s="56" t="s">
        <v>184</v>
      </c>
      <c r="X10" s="56" t="s">
        <v>185</v>
      </c>
      <c r="Y10" s="56" t="s">
        <v>179</v>
      </c>
    </row>
    <row r="11" spans="2:25" ht="84.75" customHeight="1">
      <c r="B11" s="49" t="s">
        <v>109</v>
      </c>
      <c r="C11" s="60">
        <v>4</v>
      </c>
      <c r="D11" s="61" t="s">
        <v>110</v>
      </c>
      <c r="E11" s="56"/>
      <c r="G11" s="58">
        <v>4</v>
      </c>
      <c r="H11" s="58">
        <v>4</v>
      </c>
      <c r="I11" s="58">
        <v>4</v>
      </c>
      <c r="J11" s="56" t="s">
        <v>136</v>
      </c>
      <c r="K11" s="58">
        <v>1</v>
      </c>
      <c r="L11" s="58">
        <v>8</v>
      </c>
      <c r="M11" s="58" t="s">
        <v>83</v>
      </c>
      <c r="N11" s="58" t="s">
        <v>84</v>
      </c>
      <c r="O11" s="56"/>
      <c r="P11" s="56"/>
      <c r="Q11" s="56" t="s">
        <v>137</v>
      </c>
      <c r="R11" s="56" t="s">
        <v>137</v>
      </c>
      <c r="S11" s="56"/>
      <c r="T11" s="56"/>
      <c r="U11" s="56"/>
      <c r="V11" s="56"/>
      <c r="W11" s="56"/>
      <c r="X11" s="56"/>
      <c r="Y11" s="56"/>
    </row>
    <row r="12" spans="2:25" ht="84.75" customHeight="1">
      <c r="B12" s="49" t="s">
        <v>87</v>
      </c>
      <c r="C12" s="56" t="s">
        <v>25</v>
      </c>
      <c r="D12" s="57" t="str">
        <f>IFERROR(VLOOKUP(C12,HiddenSheet!$B$277:$C$291,2,FALSE()),"")</f>
        <v>Allows the user to switch a setting on or off, like a light switch.</v>
      </c>
      <c r="E12" s="56"/>
      <c r="F12" s="63"/>
      <c r="G12" s="58"/>
      <c r="H12" s="58"/>
      <c r="I12" s="58"/>
      <c r="J12" s="78"/>
      <c r="K12" s="58"/>
      <c r="L12" s="56"/>
      <c r="M12" s="56"/>
      <c r="N12" s="56"/>
      <c r="O12" s="56"/>
      <c r="P12" s="58"/>
      <c r="Q12" s="58"/>
      <c r="R12" s="56"/>
      <c r="S12" s="56"/>
      <c r="T12" s="56"/>
      <c r="U12" s="56"/>
      <c r="V12" s="56"/>
      <c r="W12" s="56"/>
      <c r="X12" s="56"/>
      <c r="Y12" s="56"/>
    </row>
    <row r="13" spans="2:25" ht="84.75" customHeight="1">
      <c r="B13" s="49" t="s">
        <v>159</v>
      </c>
      <c r="C13" s="64" t="b">
        <f>FALSE()</f>
        <v>0</v>
      </c>
      <c r="D13" s="65"/>
      <c r="E13" s="66"/>
      <c r="F13" s="63"/>
      <c r="G13" s="58"/>
      <c r="H13" s="58"/>
      <c r="I13" s="58"/>
      <c r="J13" s="56"/>
      <c r="K13" s="58"/>
      <c r="L13" s="58"/>
      <c r="M13" s="58"/>
      <c r="N13" s="58"/>
      <c r="O13" s="56"/>
      <c r="P13" s="56"/>
      <c r="Q13" s="56"/>
      <c r="R13" s="56"/>
      <c r="S13" s="56"/>
      <c r="T13" s="56"/>
      <c r="U13" s="56"/>
      <c r="V13" s="56"/>
      <c r="W13" s="56"/>
      <c r="X13" s="56"/>
      <c r="Y13" s="56"/>
    </row>
    <row r="14" spans="2:25" ht="84.75" customHeight="1">
      <c r="B14" s="49" t="s">
        <v>112</v>
      </c>
      <c r="C14" s="66"/>
      <c r="D14" s="65" t="s">
        <v>113</v>
      </c>
      <c r="E14" s="66"/>
      <c r="F14" s="63"/>
      <c r="G14" s="58"/>
      <c r="H14" s="58"/>
      <c r="I14" s="58"/>
      <c r="J14" s="56"/>
      <c r="K14" s="58"/>
      <c r="L14" s="58"/>
      <c r="M14" s="58"/>
      <c r="N14" s="58"/>
      <c r="O14" s="56"/>
      <c r="P14" s="56"/>
      <c r="Q14" s="56"/>
      <c r="R14" s="56"/>
      <c r="S14" s="56"/>
      <c r="T14" s="56"/>
      <c r="U14" s="56"/>
      <c r="V14" s="56"/>
      <c r="W14" s="56"/>
      <c r="X14" s="56"/>
      <c r="Y14" s="56"/>
    </row>
    <row r="15" spans="2:25" ht="84.75" customHeight="1">
      <c r="B15" s="49" t="s">
        <v>117</v>
      </c>
      <c r="C15" s="66"/>
      <c r="D15" s="61" t="s">
        <v>118</v>
      </c>
      <c r="E15" s="66"/>
      <c r="F15" s="63"/>
      <c r="G15" s="58"/>
      <c r="H15" s="58"/>
      <c r="I15" s="58"/>
      <c r="J15" s="56"/>
      <c r="K15" s="58"/>
      <c r="L15" s="58"/>
      <c r="M15" s="58"/>
      <c r="N15" s="58"/>
      <c r="O15" s="56"/>
      <c r="P15" s="56"/>
      <c r="Q15" s="56"/>
      <c r="R15" s="56"/>
      <c r="S15" s="56"/>
      <c r="T15" s="56"/>
      <c r="U15" s="56"/>
      <c r="V15" s="56"/>
      <c r="W15" s="56"/>
      <c r="X15" s="56"/>
      <c r="Y15" s="56"/>
    </row>
    <row r="16" spans="2:25" ht="84.75" customHeight="1">
      <c r="B16" s="67" t="s">
        <v>120</v>
      </c>
      <c r="C16" s="66"/>
      <c r="D16" s="61" t="s">
        <v>121</v>
      </c>
      <c r="E16" s="66"/>
      <c r="F16" s="63"/>
      <c r="G16" s="58"/>
      <c r="H16" s="58"/>
      <c r="I16" s="58"/>
      <c r="J16" s="56"/>
      <c r="K16" s="58"/>
      <c r="L16" s="58"/>
      <c r="M16" s="58"/>
      <c r="N16" s="58"/>
      <c r="O16" s="56"/>
      <c r="P16" s="56"/>
      <c r="Q16" s="56"/>
      <c r="R16" s="56"/>
      <c r="S16" s="56"/>
      <c r="T16" s="56"/>
      <c r="U16" s="56"/>
      <c r="V16" s="56"/>
      <c r="W16" s="56"/>
      <c r="X16" s="56"/>
      <c r="Y16" s="56"/>
    </row>
    <row r="17" spans="2:25" ht="30" customHeight="1">
      <c r="B17" s="68"/>
      <c r="C17" s="63"/>
      <c r="E17" s="63"/>
      <c r="F17" s="63"/>
      <c r="G17" s="58"/>
      <c r="H17" s="58"/>
      <c r="I17" s="58"/>
      <c r="J17" s="56"/>
      <c r="K17" s="58"/>
      <c r="L17" s="58"/>
      <c r="M17" s="58"/>
      <c r="N17" s="58"/>
      <c r="O17" s="56"/>
      <c r="P17" s="56"/>
      <c r="Q17" s="56"/>
      <c r="R17" s="56"/>
      <c r="S17" s="56"/>
      <c r="T17" s="56"/>
      <c r="U17" s="56"/>
      <c r="V17" s="56"/>
      <c r="W17" s="56"/>
      <c r="X17" s="56"/>
      <c r="Y17" s="56"/>
    </row>
    <row r="18" spans="2:25" ht="30" customHeight="1">
      <c r="B18" s="68"/>
      <c r="C18" s="63"/>
      <c r="E18" s="63"/>
      <c r="F18" s="63"/>
      <c r="G18" s="58"/>
      <c r="H18" s="58"/>
      <c r="I18" s="58"/>
      <c r="J18" s="56"/>
      <c r="K18" s="58"/>
      <c r="L18" s="58"/>
      <c r="M18" s="58"/>
      <c r="N18" s="58"/>
      <c r="O18" s="56"/>
      <c r="P18" s="56"/>
      <c r="Q18" s="56"/>
      <c r="R18" s="56"/>
      <c r="S18" s="56"/>
      <c r="T18" s="56"/>
      <c r="U18" s="56"/>
      <c r="V18" s="56"/>
      <c r="W18" s="56"/>
      <c r="X18" s="56"/>
      <c r="Y18" s="56"/>
    </row>
    <row r="19" spans="2:25" ht="30" customHeight="1">
      <c r="B19" s="68"/>
      <c r="C19" s="63"/>
      <c r="E19" s="63"/>
      <c r="F19" s="63"/>
      <c r="G19" s="58"/>
      <c r="H19" s="58"/>
      <c r="I19" s="58"/>
      <c r="J19" s="56"/>
      <c r="K19" s="58"/>
      <c r="L19" s="58"/>
      <c r="M19" s="58"/>
      <c r="N19" s="58"/>
      <c r="O19" s="56"/>
      <c r="P19" s="56"/>
      <c r="Q19" s="56"/>
      <c r="R19" s="56"/>
      <c r="S19" s="56"/>
      <c r="T19" s="56"/>
      <c r="U19" s="56"/>
      <c r="V19" s="56"/>
      <c r="W19" s="56"/>
      <c r="X19" s="56"/>
      <c r="Y19" s="56"/>
    </row>
    <row r="20" spans="2:25" ht="30" customHeight="1">
      <c r="B20" s="68"/>
      <c r="C20" s="63"/>
      <c r="E20" s="63"/>
      <c r="F20" s="63"/>
      <c r="G20" s="58"/>
      <c r="H20" s="58"/>
      <c r="I20" s="58"/>
      <c r="J20" s="56"/>
      <c r="K20" s="58"/>
      <c r="L20" s="58"/>
      <c r="M20" s="58"/>
      <c r="N20" s="58"/>
      <c r="O20" s="56"/>
      <c r="P20" s="56"/>
      <c r="Q20" s="56"/>
      <c r="R20" s="56"/>
      <c r="S20" s="56"/>
      <c r="T20" s="56"/>
      <c r="U20" s="56"/>
      <c r="V20" s="56"/>
      <c r="W20" s="56"/>
      <c r="X20" s="56"/>
      <c r="Y20" s="56"/>
    </row>
    <row r="21" spans="2:25">
      <c r="G21" s="58"/>
      <c r="H21" s="56"/>
      <c r="I21" s="56"/>
      <c r="J21" s="56"/>
      <c r="K21" s="58"/>
      <c r="L21" s="58"/>
      <c r="M21" s="58"/>
      <c r="N21" s="58"/>
      <c r="O21" s="56"/>
      <c r="P21" s="56"/>
      <c r="Q21" s="56"/>
      <c r="R21" s="56"/>
      <c r="S21" s="56"/>
      <c r="T21" s="56"/>
      <c r="U21" s="56"/>
      <c r="V21" s="56"/>
      <c r="W21" s="56"/>
      <c r="X21" s="56"/>
      <c r="Y21" s="56"/>
    </row>
    <row r="22" spans="2:25">
      <c r="G22" s="58"/>
      <c r="H22" s="56"/>
      <c r="I22" s="56"/>
      <c r="J22" s="56"/>
      <c r="K22" s="58"/>
      <c r="L22" s="58"/>
      <c r="M22" s="58"/>
      <c r="N22" s="58"/>
      <c r="O22" s="56"/>
      <c r="P22" s="56"/>
      <c r="Q22" s="56"/>
      <c r="R22" s="56"/>
      <c r="S22" s="56"/>
      <c r="T22" s="56"/>
      <c r="U22" s="56"/>
      <c r="V22" s="56"/>
      <c r="W22" s="56"/>
      <c r="X22" s="56"/>
      <c r="Y22" s="56"/>
    </row>
    <row r="23" spans="2:25">
      <c r="B23" s="68"/>
      <c r="C23" s="68"/>
      <c r="D23" s="69"/>
      <c r="F23" s="68"/>
      <c r="G23" s="68"/>
      <c r="H23" s="68"/>
    </row>
    <row r="24" spans="2:25">
      <c r="B24" s="68"/>
      <c r="C24" s="68"/>
      <c r="D24" s="69"/>
      <c r="F24" s="68"/>
      <c r="G24" s="68"/>
      <c r="H24" s="68"/>
    </row>
    <row r="25" spans="2:25">
      <c r="B25" s="68"/>
      <c r="C25" s="68"/>
      <c r="D25" s="69"/>
      <c r="F25" s="68"/>
      <c r="G25" s="68"/>
      <c r="J25" s="72"/>
      <c r="L25" s="68"/>
      <c r="M25" s="68"/>
    </row>
    <row r="26" spans="2:25">
      <c r="B26" s="68"/>
      <c r="C26" s="68"/>
      <c r="D26" s="69"/>
      <c r="F26" s="68"/>
      <c r="G26" s="68"/>
      <c r="L26" s="68"/>
      <c r="M26" s="68"/>
    </row>
    <row r="27" spans="2:25">
      <c r="B27" s="68"/>
      <c r="C27" s="68"/>
      <c r="D27" s="69"/>
      <c r="F27" s="68"/>
      <c r="G27" s="68"/>
      <c r="L27" s="68"/>
      <c r="M27" s="68"/>
    </row>
    <row r="28" spans="2:25">
      <c r="B28" s="68"/>
      <c r="C28" s="68"/>
      <c r="D28" s="69"/>
      <c r="F28" s="68"/>
      <c r="G28" s="68"/>
      <c r="L28" s="68"/>
      <c r="M28" s="68"/>
    </row>
    <row r="29" spans="2:25">
      <c r="B29" s="68"/>
      <c r="C29" s="68"/>
      <c r="D29" s="69"/>
      <c r="F29" s="68"/>
      <c r="G29" s="68"/>
      <c r="L29" s="68"/>
      <c r="M29" s="68"/>
    </row>
    <row r="30" spans="2:25">
      <c r="B30" s="68"/>
      <c r="C30" s="68"/>
      <c r="D30" s="69"/>
      <c r="F30" s="68"/>
      <c r="G30" s="68"/>
      <c r="L30" s="68"/>
      <c r="M30" s="68"/>
    </row>
    <row r="31" spans="2:25">
      <c r="B31" s="68"/>
      <c r="C31" s="68"/>
      <c r="D31" s="69"/>
      <c r="F31" s="68"/>
      <c r="G31" s="68"/>
      <c r="L31" s="68"/>
      <c r="M31" s="68"/>
    </row>
    <row r="32" spans="2:25">
      <c r="B32" s="68"/>
      <c r="C32" s="68"/>
      <c r="D32" s="69"/>
      <c r="F32" s="68"/>
      <c r="G32" s="68"/>
      <c r="L32" s="68"/>
      <c r="M32" s="68"/>
    </row>
    <row r="33" spans="2:13">
      <c r="B33" s="68"/>
      <c r="C33" s="68"/>
      <c r="D33" s="69"/>
      <c r="F33" s="68"/>
      <c r="G33" s="68"/>
      <c r="L33" s="68"/>
      <c r="M33" s="68"/>
    </row>
    <row r="34" spans="2:13">
      <c r="B34" s="68"/>
      <c r="C34" s="68"/>
      <c r="D34" s="69"/>
      <c r="F34" s="68"/>
      <c r="G34" s="68"/>
      <c r="L34" s="68"/>
      <c r="M34" s="68"/>
    </row>
    <row r="35" spans="2:13">
      <c r="B35" s="68"/>
      <c r="C35" s="68"/>
      <c r="D35" s="69"/>
      <c r="F35" s="68"/>
      <c r="G35" s="68"/>
      <c r="L35" s="68"/>
      <c r="M35" s="68"/>
    </row>
    <row r="36" spans="2:13">
      <c r="C36" s="68"/>
      <c r="D36" s="69"/>
      <c r="F36" s="68"/>
      <c r="G36" s="68"/>
      <c r="L36" s="68"/>
      <c r="M36" s="68"/>
    </row>
    <row r="37" spans="2:13">
      <c r="C37" s="68"/>
      <c r="D37" s="69"/>
      <c r="F37" s="68"/>
      <c r="G37" s="68"/>
      <c r="L37" s="68"/>
      <c r="M37" s="68"/>
    </row>
    <row r="38" spans="2:13">
      <c r="B38" s="68"/>
      <c r="C38" s="68"/>
    </row>
    <row r="39" spans="2:13">
      <c r="B39" s="68"/>
      <c r="C39" s="68"/>
    </row>
    <row r="40" spans="2:13">
      <c r="B40" s="68"/>
      <c r="C40" s="68"/>
    </row>
    <row r="41" spans="2:13">
      <c r="B41" s="68"/>
      <c r="C41" s="68"/>
    </row>
    <row r="42" spans="2:13">
      <c r="B42" s="68"/>
      <c r="C42" s="68"/>
    </row>
    <row r="43" spans="2:13">
      <c r="B43" s="68"/>
      <c r="C43" s="68"/>
    </row>
    <row r="44" spans="2:13">
      <c r="B44" s="68"/>
      <c r="C44" s="68"/>
    </row>
    <row r="45" spans="2:13">
      <c r="B45" s="68"/>
      <c r="C45" s="68"/>
    </row>
    <row r="46" spans="2:13">
      <c r="B46" s="68"/>
      <c r="C46" s="68"/>
    </row>
    <row r="47" spans="2:13">
      <c r="B47" s="68"/>
      <c r="C47" s="68"/>
    </row>
    <row r="48" spans="2:13">
      <c r="B48" s="68"/>
    </row>
    <row r="69" spans="2:24">
      <c r="B69" s="54" t="s">
        <v>138</v>
      </c>
    </row>
    <row r="73" spans="2:24" ht="12" customHeight="1"/>
    <row r="74" spans="2:24" ht="58.5" customHeight="1">
      <c r="B74" s="73" t="s">
        <v>61</v>
      </c>
      <c r="C74" s="73" t="s">
        <v>62</v>
      </c>
      <c r="D74" s="73" t="s">
        <v>63</v>
      </c>
      <c r="E74" s="73" t="s">
        <v>5</v>
      </c>
      <c r="G74" s="55" t="s">
        <v>64</v>
      </c>
      <c r="H74" s="55" t="s">
        <v>153</v>
      </c>
      <c r="I74" s="55" t="s">
        <v>154</v>
      </c>
      <c r="J74" s="55" t="s">
        <v>67</v>
      </c>
      <c r="K74" s="55" t="s">
        <v>68</v>
      </c>
      <c r="L74" s="55" t="s">
        <v>69</v>
      </c>
      <c r="M74" s="55" t="s">
        <v>70</v>
      </c>
      <c r="N74" s="55" t="s">
        <v>71</v>
      </c>
      <c r="O74" s="55" t="s">
        <v>72</v>
      </c>
      <c r="P74" s="55" t="s">
        <v>73</v>
      </c>
      <c r="Q74" s="55" t="s">
        <v>74</v>
      </c>
      <c r="R74" s="55" t="s">
        <v>75</v>
      </c>
      <c r="S74" s="55" t="s">
        <v>76</v>
      </c>
      <c r="T74" s="55" t="s">
        <v>77</v>
      </c>
      <c r="U74" s="55" t="s">
        <v>155</v>
      </c>
      <c r="V74" s="55" t="s">
        <v>78</v>
      </c>
      <c r="W74" s="55" t="s">
        <v>161</v>
      </c>
      <c r="X74" s="55" t="s">
        <v>5</v>
      </c>
    </row>
    <row r="75" spans="2:24">
      <c r="B75" s="74" t="s">
        <v>62</v>
      </c>
      <c r="C75" s="56" t="s">
        <v>37</v>
      </c>
      <c r="D75" s="57" t="str">
        <f>IFERROR(VLOOKUP(C75,HiddenSheet!$H$4:$N$35,7,FALSE()),"")</f>
        <v/>
      </c>
      <c r="E75" s="62"/>
      <c r="G75" s="58"/>
      <c r="H75" s="58"/>
      <c r="I75" s="58"/>
      <c r="J75" s="56"/>
      <c r="K75" s="58"/>
      <c r="L75" s="58"/>
      <c r="M75" s="58"/>
      <c r="N75" s="58"/>
      <c r="O75" s="56"/>
      <c r="P75" s="56"/>
      <c r="Q75" s="56"/>
      <c r="R75" s="56"/>
      <c r="S75" s="56"/>
      <c r="T75" s="56"/>
      <c r="U75" s="56"/>
      <c r="V75" s="56"/>
      <c r="W75" s="56"/>
      <c r="X75" s="56"/>
    </row>
    <row r="76" spans="2:24" ht="65.25" customHeight="1">
      <c r="B76" s="74" t="s">
        <v>102</v>
      </c>
      <c r="C76" s="62" t="s">
        <v>162</v>
      </c>
      <c r="D76" s="57" t="str">
        <f>IFERROR(VLOOKUP(C76,HiddenSheet!$C$256:$D$257,2,FALSE()),"")</f>
        <v>Data is transmitted from the device upstream to the application or server.</v>
      </c>
      <c r="E76" s="62"/>
      <c r="G76" s="58"/>
      <c r="H76" s="58"/>
      <c r="I76" s="58"/>
      <c r="J76" s="56"/>
      <c r="K76" s="58"/>
      <c r="L76" s="58"/>
      <c r="M76" s="58"/>
      <c r="N76" s="58"/>
      <c r="O76" s="56"/>
      <c r="P76" s="56"/>
      <c r="Q76" s="56"/>
      <c r="R76" s="56"/>
      <c r="S76" s="56"/>
      <c r="T76" s="56"/>
      <c r="U76" s="56"/>
      <c r="V76" s="56"/>
      <c r="W76" s="56"/>
      <c r="X76" s="56"/>
    </row>
    <row r="77" spans="2:24" ht="78" customHeight="1">
      <c r="B77" s="74" t="s">
        <v>91</v>
      </c>
      <c r="C77" s="59" t="s">
        <v>141</v>
      </c>
      <c r="D77" s="57" t="str">
        <f>IFERROR(VLOOKUP(C77,HiddenSheet!$C$226:$D$268,2,FALSE()),"")</f>
        <v>This frame is a response from the target of the command, whether it's the device, server, or application, providing confirmation, requested data, or status updates.</v>
      </c>
      <c r="E77" s="62"/>
      <c r="G77" s="58"/>
      <c r="H77" s="58"/>
      <c r="I77" s="58"/>
      <c r="J77" s="56"/>
      <c r="K77" s="58"/>
      <c r="L77" s="58"/>
      <c r="M77" s="58"/>
      <c r="N77" s="58"/>
      <c r="O77" s="56"/>
      <c r="P77" s="56"/>
      <c r="Q77" s="56"/>
      <c r="R77" s="56"/>
      <c r="S77" s="56"/>
      <c r="T77" s="56"/>
      <c r="U77" s="56"/>
      <c r="V77" s="56"/>
      <c r="W77" s="56"/>
      <c r="X77" s="56"/>
    </row>
    <row r="78" spans="2:24" ht="27" customHeight="1">
      <c r="B78" s="74" t="s">
        <v>109</v>
      </c>
      <c r="C78" s="62">
        <v>5</v>
      </c>
      <c r="D78" s="61" t="s">
        <v>110</v>
      </c>
      <c r="E78" s="62"/>
      <c r="G78" s="58"/>
      <c r="H78" s="58"/>
      <c r="I78" s="58"/>
      <c r="J78" s="56"/>
      <c r="K78" s="58"/>
      <c r="L78" s="58"/>
      <c r="M78" s="58"/>
      <c r="N78" s="58"/>
      <c r="O78" s="56"/>
      <c r="P78" s="56"/>
      <c r="Q78" s="56"/>
      <c r="R78" s="56"/>
      <c r="S78" s="56"/>
      <c r="T78" s="56"/>
      <c r="U78" s="56"/>
      <c r="V78" s="56"/>
      <c r="W78" s="56"/>
      <c r="X78" s="56"/>
    </row>
    <row r="79" spans="2:24" ht="42" customHeight="1">
      <c r="B79" s="74" t="s">
        <v>87</v>
      </c>
      <c r="C79" s="60" t="s">
        <v>164</v>
      </c>
      <c r="D79" s="57" t="str">
        <f>IFERROR(VLOOKUP(C79,HiddenSheet!$B$277:$C$291,2,FALSE()),"")</f>
        <v>An action or sends a frame after it receives a frame.</v>
      </c>
      <c r="E79" s="62"/>
      <c r="G79" s="58"/>
      <c r="H79" s="58"/>
      <c r="I79" s="58"/>
      <c r="J79" s="56"/>
      <c r="K79" s="58"/>
      <c r="L79" s="58"/>
      <c r="M79" s="58"/>
      <c r="N79" s="58"/>
      <c r="O79" s="56"/>
      <c r="P79" s="56"/>
      <c r="Q79" s="56"/>
      <c r="R79" s="56"/>
      <c r="S79" s="56"/>
      <c r="T79" s="56"/>
      <c r="U79" s="56"/>
      <c r="V79" s="56"/>
      <c r="W79" s="56"/>
      <c r="X79" s="56"/>
    </row>
    <row r="80" spans="2:24" ht="63" customHeight="1">
      <c r="B80" s="74" t="s">
        <v>112</v>
      </c>
      <c r="C80" s="75"/>
      <c r="D80" s="65" t="s">
        <v>113</v>
      </c>
      <c r="E80" s="75"/>
      <c r="G80" s="58"/>
      <c r="H80" s="58"/>
      <c r="I80" s="58"/>
      <c r="J80" s="56"/>
      <c r="K80" s="58"/>
      <c r="L80" s="58"/>
      <c r="M80" s="58"/>
      <c r="N80" s="58"/>
      <c r="O80" s="56"/>
      <c r="P80" s="56"/>
      <c r="Q80" s="56"/>
      <c r="R80" s="56"/>
      <c r="S80" s="56"/>
      <c r="T80" s="56"/>
      <c r="U80" s="56"/>
      <c r="V80" s="56"/>
      <c r="W80" s="56"/>
      <c r="X80" s="56"/>
    </row>
    <row r="81" spans="2:24">
      <c r="B81" s="74" t="s">
        <v>117</v>
      </c>
      <c r="C81" s="75"/>
      <c r="D81" s="61" t="s">
        <v>118</v>
      </c>
      <c r="E81" s="75"/>
      <c r="G81" s="58"/>
      <c r="H81" s="58"/>
      <c r="I81" s="58"/>
      <c r="J81" s="56"/>
      <c r="K81" s="58"/>
      <c r="L81" s="58"/>
      <c r="M81" s="58"/>
      <c r="N81" s="58"/>
      <c r="O81" s="56"/>
      <c r="P81" s="56"/>
      <c r="Q81" s="56"/>
      <c r="R81" s="56"/>
      <c r="S81" s="56"/>
      <c r="T81" s="56"/>
      <c r="U81" s="56"/>
      <c r="V81" s="56"/>
      <c r="W81" s="56"/>
      <c r="X81" s="56"/>
    </row>
    <row r="82" spans="2:24" ht="46.8">
      <c r="B82" s="76" t="s">
        <v>120</v>
      </c>
      <c r="C82" s="75"/>
      <c r="D82" s="61" t="s">
        <v>121</v>
      </c>
      <c r="E82" s="75"/>
      <c r="G82" s="58"/>
      <c r="H82" s="58"/>
      <c r="I82" s="58"/>
      <c r="J82" s="56"/>
      <c r="K82" s="58"/>
      <c r="L82" s="58"/>
      <c r="M82" s="58"/>
      <c r="N82" s="58"/>
      <c r="O82" s="56"/>
      <c r="P82" s="56"/>
      <c r="Q82" s="56"/>
      <c r="R82" s="56"/>
      <c r="S82" s="56"/>
      <c r="T82" s="56"/>
      <c r="U82" s="56"/>
      <c r="V82" s="56"/>
      <c r="W82" s="56"/>
      <c r="X82" s="56"/>
    </row>
    <row r="83" spans="2:24" ht="39" customHeight="1">
      <c r="B83" s="63"/>
      <c r="C83" s="48"/>
      <c r="D83" s="63"/>
      <c r="E83" s="63"/>
      <c r="G83" s="58"/>
      <c r="H83" s="58"/>
      <c r="I83" s="58"/>
      <c r="J83" s="56"/>
      <c r="K83" s="58"/>
      <c r="L83" s="58"/>
      <c r="M83" s="58"/>
      <c r="N83" s="58"/>
      <c r="O83" s="56"/>
      <c r="P83" s="56"/>
      <c r="Q83" s="56"/>
      <c r="R83" s="56"/>
      <c r="S83" s="56"/>
      <c r="T83" s="56"/>
      <c r="U83" s="56"/>
      <c r="V83" s="56"/>
      <c r="W83" s="56"/>
      <c r="X83" s="56"/>
    </row>
    <row r="84" spans="2:24">
      <c r="B84" s="63"/>
      <c r="C84" s="48"/>
      <c r="D84" s="63"/>
      <c r="E84" s="63"/>
      <c r="G84" s="58"/>
      <c r="H84" s="58"/>
      <c r="I84" s="58"/>
      <c r="J84" s="56"/>
      <c r="K84" s="58"/>
      <c r="L84" s="58"/>
      <c r="M84" s="58"/>
      <c r="N84" s="58"/>
      <c r="O84" s="56"/>
      <c r="P84" s="56"/>
      <c r="Q84" s="56"/>
      <c r="R84" s="56"/>
      <c r="S84" s="56"/>
      <c r="T84" s="56"/>
      <c r="U84" s="56"/>
      <c r="V84" s="56"/>
      <c r="W84" s="56"/>
      <c r="X84" s="56"/>
    </row>
    <row r="85" spans="2:24">
      <c r="B85" s="63"/>
      <c r="C85" s="48"/>
      <c r="D85" s="63"/>
      <c r="E85" s="63"/>
      <c r="G85" s="58"/>
      <c r="H85" s="58"/>
      <c r="I85" s="58"/>
      <c r="J85" s="56"/>
      <c r="K85" s="58"/>
      <c r="L85" s="58"/>
      <c r="M85" s="58"/>
      <c r="N85" s="58"/>
      <c r="O85" s="56"/>
      <c r="P85" s="56"/>
      <c r="Q85" s="56"/>
      <c r="R85" s="56"/>
      <c r="S85" s="56"/>
      <c r="T85" s="56"/>
      <c r="U85" s="56"/>
      <c r="V85" s="56"/>
      <c r="W85" s="56"/>
      <c r="X85" s="56"/>
    </row>
    <row r="86" spans="2:24">
      <c r="B86" s="63"/>
      <c r="C86" s="48"/>
      <c r="D86" s="63"/>
      <c r="E86" s="63"/>
      <c r="G86" s="58"/>
      <c r="H86" s="58"/>
      <c r="I86" s="58"/>
      <c r="J86" s="56"/>
      <c r="K86" s="58"/>
      <c r="L86" s="58"/>
      <c r="M86" s="58"/>
      <c r="N86" s="58"/>
      <c r="O86" s="56"/>
      <c r="P86" s="56"/>
      <c r="Q86" s="56"/>
      <c r="R86" s="56"/>
      <c r="S86" s="56"/>
      <c r="T86" s="56"/>
      <c r="U86" s="56"/>
      <c r="V86" s="56"/>
      <c r="W86" s="56"/>
      <c r="X86" s="56"/>
    </row>
    <row r="87" spans="2:24">
      <c r="B87" s="63"/>
      <c r="C87" s="48"/>
      <c r="D87" s="63"/>
      <c r="E87" s="63"/>
      <c r="G87" s="58"/>
      <c r="H87" s="58"/>
      <c r="I87" s="58"/>
      <c r="J87" s="56"/>
      <c r="K87" s="58"/>
      <c r="L87" s="58"/>
      <c r="M87" s="58"/>
      <c r="N87" s="58"/>
      <c r="O87" s="56"/>
      <c r="P87" s="56"/>
      <c r="Q87" s="56"/>
      <c r="R87" s="56"/>
      <c r="S87" s="56"/>
      <c r="T87" s="56"/>
      <c r="U87" s="56"/>
      <c r="V87" s="56"/>
      <c r="W87" s="56"/>
      <c r="X87" s="56"/>
    </row>
    <row r="88" spans="2:24" s="47" customFormat="1">
      <c r="C88" s="48"/>
      <c r="G88" s="58"/>
      <c r="H88" s="56"/>
      <c r="I88" s="56"/>
      <c r="J88" s="56"/>
      <c r="K88" s="58"/>
      <c r="L88" s="58"/>
      <c r="M88" s="58"/>
      <c r="N88" s="58"/>
      <c r="O88" s="56"/>
      <c r="P88" s="56"/>
      <c r="Q88" s="56"/>
      <c r="R88" s="56"/>
      <c r="S88" s="56"/>
      <c r="T88" s="56"/>
      <c r="U88" s="56"/>
      <c r="V88" s="56"/>
      <c r="W88" s="56"/>
      <c r="X88" s="56"/>
    </row>
    <row r="89" spans="2:24" s="47" customFormat="1">
      <c r="C89" s="48"/>
      <c r="G89" s="58"/>
      <c r="H89" s="56"/>
      <c r="I89" s="56"/>
      <c r="J89" s="56"/>
      <c r="K89" s="58"/>
      <c r="L89" s="58"/>
      <c r="M89" s="58"/>
      <c r="N89" s="58"/>
      <c r="O89" s="56"/>
      <c r="P89" s="56"/>
      <c r="Q89" s="56"/>
      <c r="R89" s="56"/>
      <c r="S89" s="56"/>
      <c r="T89" s="56"/>
      <c r="U89" s="56"/>
      <c r="V89" s="56"/>
      <c r="W89" s="56"/>
      <c r="X89" s="56"/>
    </row>
    <row r="90" spans="2:24">
      <c r="B90" s="63"/>
      <c r="C90" s="48"/>
      <c r="D90" s="63"/>
      <c r="E90" s="63"/>
      <c r="F90" s="68"/>
      <c r="G90" s="68"/>
      <c r="H90" s="68"/>
      <c r="J90" s="68"/>
      <c r="K90" s="68"/>
      <c r="P90" s="68"/>
      <c r="Q90" s="68"/>
    </row>
    <row r="91" spans="2:24">
      <c r="B91" s="63"/>
      <c r="C91" s="48"/>
      <c r="D91" s="63"/>
      <c r="E91" s="63"/>
      <c r="F91" s="68"/>
      <c r="G91" s="68"/>
      <c r="H91" s="68"/>
      <c r="J91" s="68"/>
      <c r="K91" s="68"/>
      <c r="P91" s="68"/>
      <c r="Q91" s="68"/>
    </row>
    <row r="92" spans="2:24">
      <c r="B92" s="63"/>
      <c r="C92" s="48"/>
      <c r="D92" s="63"/>
      <c r="E92" s="63"/>
      <c r="F92" s="68"/>
      <c r="G92" s="68"/>
      <c r="H92" s="68"/>
      <c r="J92" s="68"/>
      <c r="K92" s="68"/>
      <c r="P92" s="68"/>
      <c r="Q92" s="68"/>
    </row>
    <row r="93" spans="2:24" s="47" customFormat="1">
      <c r="C93" s="48"/>
      <c r="F93" s="68"/>
      <c r="J93" s="68"/>
      <c r="K93" s="68"/>
      <c r="P93" s="68"/>
      <c r="Q93" s="68"/>
    </row>
    <row r="94" spans="2:24" s="47" customFormat="1">
      <c r="C94" s="48"/>
      <c r="F94" s="68"/>
      <c r="J94" s="68"/>
      <c r="K94" s="68"/>
      <c r="P94" s="68"/>
      <c r="Q94" s="68"/>
    </row>
    <row r="108" spans="2:2">
      <c r="B108" s="54" t="s">
        <v>146</v>
      </c>
    </row>
    <row r="112" spans="2:2">
      <c r="B112" s="77"/>
    </row>
    <row r="113" spans="2:24">
      <c r="B113" s="77"/>
    </row>
    <row r="115" spans="2:24" ht="42.75" customHeight="1">
      <c r="B115" s="73" t="s">
        <v>61</v>
      </c>
      <c r="C115" s="73" t="s">
        <v>62</v>
      </c>
      <c r="D115" s="73" t="s">
        <v>63</v>
      </c>
      <c r="E115" s="73" t="s">
        <v>5</v>
      </c>
      <c r="G115" s="55" t="s">
        <v>64</v>
      </c>
      <c r="H115" s="55" t="s">
        <v>153</v>
      </c>
      <c r="I115" s="55" t="s">
        <v>154</v>
      </c>
      <c r="J115" s="55" t="s">
        <v>67</v>
      </c>
      <c r="K115" s="55" t="s">
        <v>68</v>
      </c>
      <c r="L115" s="55" t="s">
        <v>69</v>
      </c>
      <c r="M115" s="55" t="s">
        <v>70</v>
      </c>
      <c r="N115" s="55" t="s">
        <v>71</v>
      </c>
      <c r="O115" s="55" t="s">
        <v>72</v>
      </c>
      <c r="P115" s="55" t="s">
        <v>73</v>
      </c>
      <c r="Q115" s="55" t="s">
        <v>74</v>
      </c>
      <c r="R115" s="55" t="s">
        <v>75</v>
      </c>
      <c r="S115" s="55" t="s">
        <v>76</v>
      </c>
      <c r="T115" s="55" t="s">
        <v>77</v>
      </c>
      <c r="U115" s="55" t="s">
        <v>155</v>
      </c>
      <c r="V115" s="55" t="s">
        <v>78</v>
      </c>
      <c r="W115" s="55" t="s">
        <v>161</v>
      </c>
      <c r="X115" s="55" t="s">
        <v>5</v>
      </c>
    </row>
    <row r="116" spans="2:24" ht="48" customHeight="1">
      <c r="B116" s="74" t="s">
        <v>62</v>
      </c>
      <c r="C116" s="56" t="s">
        <v>165</v>
      </c>
      <c r="D116" s="57" t="str">
        <f>IFERROR(VLOOKUP(C116,HiddenSheet!$H$4:$N$35,7,FALSE()),"")</f>
        <v/>
      </c>
      <c r="E116" s="62"/>
      <c r="G116" s="58"/>
      <c r="H116" s="58"/>
      <c r="I116" s="58"/>
      <c r="J116" s="56"/>
      <c r="K116" s="58"/>
      <c r="L116" s="58"/>
      <c r="M116" s="58"/>
      <c r="N116" s="58"/>
      <c r="O116" s="56"/>
      <c r="P116" s="56"/>
      <c r="Q116" s="56"/>
      <c r="R116" s="56"/>
      <c r="S116" s="56"/>
      <c r="T116" s="56"/>
      <c r="U116" s="56"/>
      <c r="V116" s="56"/>
      <c r="W116" s="56"/>
      <c r="X116" s="56"/>
    </row>
    <row r="117" spans="2:24" ht="60.75" customHeight="1">
      <c r="B117" s="74" t="s">
        <v>102</v>
      </c>
      <c r="C117" s="62" t="s">
        <v>162</v>
      </c>
      <c r="D117" s="57" t="str">
        <f>IFERROR(VLOOKUP(C117,HiddenSheet!$C$256:$D$257,2,FALSE()),"")</f>
        <v>Data is transmitted from the device upstream to the application or server.</v>
      </c>
      <c r="E117" s="62"/>
      <c r="G117" s="58"/>
      <c r="H117" s="58"/>
      <c r="I117" s="58"/>
      <c r="J117" s="56"/>
      <c r="K117" s="58"/>
      <c r="L117" s="58"/>
      <c r="M117" s="58"/>
      <c r="N117" s="58"/>
      <c r="O117" s="56"/>
      <c r="P117" s="56"/>
      <c r="Q117" s="56"/>
      <c r="R117" s="56"/>
      <c r="S117" s="56"/>
      <c r="T117" s="56"/>
      <c r="U117" s="56"/>
      <c r="V117" s="56"/>
      <c r="W117" s="56"/>
      <c r="X117" s="56"/>
    </row>
    <row r="118" spans="2:24" ht="122.25" customHeight="1">
      <c r="B118" s="74" t="s">
        <v>91</v>
      </c>
      <c r="C118" s="59" t="s">
        <v>148</v>
      </c>
      <c r="D118" s="57" t="str">
        <f>IFERROR(VLOOKUP(C118,HiddenSheet!$C$226:$D$268,2,FALSE()),"")</f>
        <v>This frame is sent when an error is detected, indicating an issue or exception has occurred, and may include error codes or diagnostic details. It can originate from any participant in the communication process (application, server, or device).</v>
      </c>
      <c r="E118" s="62"/>
      <c r="G118" s="58"/>
      <c r="H118" s="58"/>
      <c r="I118" s="58"/>
      <c r="J118" s="56"/>
      <c r="K118" s="58"/>
      <c r="L118" s="58"/>
      <c r="M118" s="58"/>
      <c r="N118" s="58"/>
      <c r="O118" s="56"/>
      <c r="P118" s="56"/>
      <c r="Q118" s="56"/>
      <c r="R118" s="56"/>
      <c r="S118" s="56"/>
      <c r="T118" s="56"/>
      <c r="U118" s="56"/>
      <c r="V118" s="56"/>
      <c r="W118" s="56"/>
      <c r="X118" s="56"/>
    </row>
    <row r="119" spans="2:24" ht="58.5" customHeight="1">
      <c r="B119" s="74" t="s">
        <v>109</v>
      </c>
      <c r="C119" s="62">
        <v>5</v>
      </c>
      <c r="D119" s="61" t="s">
        <v>110</v>
      </c>
      <c r="E119" s="62"/>
      <c r="G119" s="58"/>
      <c r="H119" s="58"/>
      <c r="I119" s="58"/>
      <c r="J119" s="56"/>
      <c r="K119" s="58"/>
      <c r="L119" s="58"/>
      <c r="M119" s="58"/>
      <c r="N119" s="58"/>
      <c r="O119" s="56"/>
      <c r="P119" s="56"/>
      <c r="Q119" s="56"/>
      <c r="R119" s="56"/>
      <c r="S119" s="56"/>
      <c r="T119" s="56"/>
      <c r="U119" s="56"/>
      <c r="V119" s="56"/>
      <c r="W119" s="56"/>
      <c r="X119" s="56"/>
    </row>
    <row r="120" spans="2:24" ht="60" customHeight="1">
      <c r="B120" s="74" t="s">
        <v>87</v>
      </c>
      <c r="C120" s="60" t="s">
        <v>164</v>
      </c>
      <c r="D120" s="57" t="str">
        <f>IFERROR(VLOOKUP(C120,HiddenSheet!$B$277:$C$292,2,FALSE()),"")</f>
        <v>An action or sends a frame after it receives a frame.</v>
      </c>
      <c r="E120" s="62"/>
      <c r="G120" s="58"/>
      <c r="H120" s="58"/>
      <c r="I120" s="58"/>
      <c r="J120" s="56"/>
      <c r="K120" s="58"/>
      <c r="L120" s="58"/>
      <c r="M120" s="58"/>
      <c r="N120" s="58"/>
      <c r="O120" s="56"/>
      <c r="P120" s="56"/>
      <c r="Q120" s="56"/>
      <c r="R120" s="56"/>
      <c r="S120" s="56"/>
      <c r="T120" s="56"/>
      <c r="U120" s="56"/>
      <c r="V120" s="56"/>
      <c r="W120" s="56"/>
      <c r="X120" s="56"/>
    </row>
    <row r="121" spans="2:24" ht="46.8">
      <c r="B121" s="74" t="s">
        <v>112</v>
      </c>
      <c r="C121" s="75"/>
      <c r="D121" s="65" t="s">
        <v>113</v>
      </c>
      <c r="E121" s="75"/>
      <c r="G121" s="58"/>
      <c r="H121" s="58"/>
      <c r="I121" s="58"/>
      <c r="J121" s="56"/>
      <c r="K121" s="58"/>
      <c r="L121" s="58"/>
      <c r="M121" s="58"/>
      <c r="N121" s="58"/>
      <c r="O121" s="56"/>
      <c r="P121" s="56"/>
      <c r="Q121" s="56"/>
      <c r="R121" s="56"/>
      <c r="S121" s="56"/>
      <c r="T121" s="56"/>
      <c r="U121" s="56"/>
      <c r="V121" s="56"/>
      <c r="W121" s="56"/>
      <c r="X121" s="56"/>
    </row>
    <row r="122" spans="2:24" ht="39" customHeight="1">
      <c r="B122" s="74" t="s">
        <v>117</v>
      </c>
      <c r="C122" s="75"/>
      <c r="D122" s="61" t="s">
        <v>118</v>
      </c>
      <c r="E122" s="75"/>
      <c r="G122" s="58"/>
      <c r="H122" s="58"/>
      <c r="I122" s="58"/>
      <c r="J122" s="56"/>
      <c r="K122" s="58"/>
      <c r="L122" s="58"/>
      <c r="M122" s="58"/>
      <c r="N122" s="58"/>
      <c r="O122" s="56"/>
      <c r="P122" s="56"/>
      <c r="Q122" s="56"/>
      <c r="R122" s="56"/>
      <c r="S122" s="56"/>
      <c r="T122" s="56"/>
      <c r="U122" s="56"/>
      <c r="V122" s="56"/>
      <c r="W122" s="56"/>
      <c r="X122" s="56"/>
    </row>
    <row r="123" spans="2:24" ht="51.75" customHeight="1">
      <c r="B123" s="76" t="s">
        <v>120</v>
      </c>
      <c r="C123" s="75"/>
      <c r="D123" s="61" t="s">
        <v>121</v>
      </c>
      <c r="E123" s="75"/>
      <c r="G123" s="58"/>
      <c r="H123" s="58"/>
      <c r="I123" s="58"/>
      <c r="J123" s="56"/>
      <c r="K123" s="58"/>
      <c r="L123" s="58"/>
      <c r="M123" s="58"/>
      <c r="N123" s="58"/>
      <c r="O123" s="56"/>
      <c r="P123" s="56"/>
      <c r="Q123" s="56"/>
      <c r="R123" s="56"/>
      <c r="S123" s="56"/>
      <c r="T123" s="56"/>
      <c r="U123" s="56"/>
      <c r="V123" s="56"/>
      <c r="W123" s="56"/>
      <c r="X123" s="56"/>
    </row>
    <row r="124" spans="2:24">
      <c r="B124" s="63"/>
      <c r="C124" s="48"/>
      <c r="D124" s="63"/>
      <c r="E124" s="63"/>
      <c r="G124" s="58"/>
      <c r="H124" s="58"/>
      <c r="I124" s="58"/>
      <c r="J124" s="56"/>
      <c r="K124" s="58"/>
      <c r="L124" s="58"/>
      <c r="M124" s="58"/>
      <c r="N124" s="58"/>
      <c r="O124" s="56"/>
      <c r="P124" s="56"/>
      <c r="Q124" s="56"/>
      <c r="R124" s="56"/>
      <c r="S124" s="56"/>
      <c r="T124" s="56"/>
      <c r="U124" s="56"/>
      <c r="V124" s="56"/>
      <c r="W124" s="56"/>
      <c r="X124" s="56"/>
    </row>
    <row r="125" spans="2:24">
      <c r="B125" s="63"/>
      <c r="C125" s="48"/>
      <c r="D125" s="63"/>
      <c r="E125" s="63"/>
      <c r="G125" s="58"/>
      <c r="H125" s="58"/>
      <c r="I125" s="58"/>
      <c r="J125" s="56"/>
      <c r="K125" s="58"/>
      <c r="L125" s="58"/>
      <c r="M125" s="58"/>
      <c r="N125" s="58"/>
      <c r="O125" s="56"/>
      <c r="P125" s="56"/>
      <c r="Q125" s="56"/>
      <c r="R125" s="56"/>
      <c r="S125" s="56"/>
      <c r="T125" s="56"/>
      <c r="U125" s="56"/>
      <c r="V125" s="56"/>
      <c r="W125" s="56"/>
      <c r="X125" s="56"/>
    </row>
    <row r="126" spans="2:24">
      <c r="B126" s="63"/>
      <c r="C126" s="48"/>
      <c r="D126" s="63"/>
      <c r="E126" s="63"/>
      <c r="G126" s="58"/>
      <c r="H126" s="58"/>
      <c r="I126" s="58"/>
      <c r="J126" s="56"/>
      <c r="K126" s="58"/>
      <c r="L126" s="58"/>
      <c r="M126" s="58"/>
      <c r="N126" s="58"/>
      <c r="O126" s="56"/>
      <c r="P126" s="56"/>
      <c r="Q126" s="56"/>
      <c r="R126" s="56"/>
      <c r="S126" s="56"/>
      <c r="T126" s="56"/>
      <c r="U126" s="56"/>
      <c r="V126" s="56"/>
      <c r="W126" s="56"/>
      <c r="X126" s="56"/>
    </row>
    <row r="127" spans="2:24">
      <c r="B127" s="63"/>
      <c r="C127" s="48"/>
      <c r="D127" s="63"/>
      <c r="E127" s="63"/>
      <c r="G127" s="58"/>
      <c r="H127" s="58"/>
      <c r="I127" s="58"/>
      <c r="J127" s="56"/>
      <c r="K127" s="58"/>
      <c r="L127" s="58"/>
      <c r="M127" s="58"/>
      <c r="N127" s="58"/>
      <c r="O127" s="56"/>
      <c r="P127" s="56"/>
      <c r="Q127" s="56"/>
      <c r="R127" s="56"/>
      <c r="S127" s="56"/>
      <c r="T127" s="56"/>
      <c r="U127" s="56"/>
      <c r="V127" s="56"/>
      <c r="W127" s="56"/>
      <c r="X127" s="56"/>
    </row>
    <row r="128" spans="2:24">
      <c r="B128" s="63"/>
      <c r="C128" s="48"/>
      <c r="D128" s="63"/>
      <c r="E128" s="63"/>
      <c r="G128" s="58"/>
      <c r="H128" s="58"/>
      <c r="I128" s="58"/>
      <c r="J128" s="56"/>
      <c r="K128" s="58"/>
      <c r="L128" s="58"/>
      <c r="M128" s="58"/>
      <c r="N128" s="58"/>
      <c r="O128" s="56"/>
      <c r="P128" s="56"/>
      <c r="Q128" s="56"/>
      <c r="R128" s="56"/>
      <c r="S128" s="56"/>
      <c r="T128" s="56"/>
      <c r="U128" s="56"/>
      <c r="V128" s="56"/>
      <c r="W128" s="56"/>
      <c r="X128" s="56"/>
    </row>
    <row r="129" spans="2:24" s="47" customFormat="1">
      <c r="C129" s="48"/>
      <c r="G129" s="58"/>
      <c r="H129" s="56"/>
      <c r="I129" s="56"/>
      <c r="J129" s="56"/>
      <c r="K129" s="58"/>
      <c r="L129" s="58"/>
      <c r="M129" s="58"/>
      <c r="N129" s="58"/>
      <c r="O129" s="56"/>
      <c r="P129" s="56"/>
      <c r="Q129" s="56"/>
      <c r="R129" s="56"/>
      <c r="S129" s="56"/>
      <c r="T129" s="56"/>
      <c r="U129" s="56"/>
      <c r="V129" s="56"/>
      <c r="W129" s="56"/>
      <c r="X129" s="56"/>
    </row>
    <row r="130" spans="2:24" s="47" customFormat="1">
      <c r="C130" s="48"/>
      <c r="G130" s="58"/>
      <c r="H130" s="56"/>
      <c r="I130" s="56"/>
      <c r="J130" s="56"/>
      <c r="K130" s="58"/>
      <c r="L130" s="58"/>
      <c r="M130" s="58"/>
      <c r="N130" s="58"/>
      <c r="O130" s="56"/>
      <c r="P130" s="56"/>
      <c r="Q130" s="56"/>
      <c r="R130" s="56"/>
      <c r="S130" s="56"/>
      <c r="T130" s="56"/>
      <c r="U130" s="56"/>
      <c r="V130" s="56"/>
      <c r="W130" s="56"/>
      <c r="X130" s="56"/>
    </row>
    <row r="131" spans="2:24" s="47" customFormat="1">
      <c r="B131" s="68"/>
      <c r="C131" s="48"/>
      <c r="E131" s="63"/>
      <c r="F131" s="68"/>
      <c r="G131" s="68"/>
      <c r="H131" s="68"/>
      <c r="J131" s="68"/>
      <c r="K131" s="68"/>
      <c r="P131" s="68"/>
      <c r="Q131" s="68"/>
    </row>
    <row r="132" spans="2:24">
      <c r="B132" s="63"/>
      <c r="C132" s="48"/>
      <c r="D132" s="63"/>
      <c r="E132" s="63"/>
      <c r="F132" s="68"/>
      <c r="G132" s="68"/>
      <c r="H132" s="68"/>
      <c r="J132" s="68"/>
      <c r="K132" s="68"/>
      <c r="P132" s="68"/>
      <c r="Q132" s="68"/>
    </row>
    <row r="133" spans="2:24">
      <c r="B133" s="63"/>
      <c r="C133" s="48"/>
      <c r="D133" s="63"/>
      <c r="E133" s="63"/>
      <c r="F133" s="68"/>
      <c r="G133" s="68"/>
      <c r="H133" s="68"/>
      <c r="J133" s="68"/>
      <c r="K133" s="68"/>
      <c r="P133" s="68"/>
      <c r="Q133" s="68"/>
    </row>
    <row r="134" spans="2:24">
      <c r="B134" s="63"/>
      <c r="C134" s="48"/>
      <c r="D134" s="63"/>
      <c r="E134" s="63"/>
      <c r="F134" s="68"/>
      <c r="G134" s="68"/>
      <c r="H134" s="68"/>
      <c r="J134" s="68"/>
      <c r="K134" s="68"/>
      <c r="P134" s="68"/>
      <c r="Q134" s="68"/>
    </row>
    <row r="135" spans="2:24">
      <c r="B135" s="63"/>
      <c r="C135" s="48"/>
      <c r="D135" s="63"/>
      <c r="E135" s="63"/>
      <c r="F135" s="68"/>
      <c r="G135" s="68"/>
      <c r="H135" s="68"/>
      <c r="J135" s="68"/>
      <c r="K135" s="68"/>
      <c r="P135" s="68"/>
      <c r="Q135" s="68"/>
    </row>
    <row r="136" spans="2:24">
      <c r="B136" s="63"/>
      <c r="C136" s="48"/>
      <c r="D136" s="63"/>
      <c r="E136" s="63"/>
      <c r="F136" s="68"/>
      <c r="G136" s="68"/>
      <c r="H136" s="68"/>
      <c r="J136" s="68"/>
      <c r="K136" s="68"/>
      <c r="P136" s="68"/>
      <c r="Q136" s="68"/>
    </row>
    <row r="137" spans="2:24">
      <c r="B137" s="63"/>
      <c r="C137" s="48"/>
      <c r="D137" s="63"/>
      <c r="E137" s="63"/>
      <c r="F137" s="68"/>
      <c r="G137" s="68"/>
      <c r="H137" s="68"/>
      <c r="J137" s="68"/>
      <c r="K137" s="68"/>
      <c r="P137" s="68"/>
      <c r="Q137" s="68"/>
    </row>
    <row r="138" spans="2:24">
      <c r="B138" s="63"/>
      <c r="C138" s="48"/>
      <c r="D138" s="63"/>
      <c r="E138" s="63"/>
      <c r="F138" s="68"/>
      <c r="G138" s="68"/>
      <c r="H138" s="68"/>
      <c r="J138" s="68"/>
      <c r="K138" s="68"/>
      <c r="P138" s="68"/>
      <c r="Q138" s="68"/>
    </row>
    <row r="139" spans="2:24">
      <c r="B139" s="63"/>
      <c r="C139" s="48"/>
      <c r="D139" s="63"/>
      <c r="E139" s="63"/>
      <c r="F139" s="68"/>
      <c r="G139" s="68"/>
      <c r="H139" s="68"/>
      <c r="J139" s="68"/>
      <c r="K139" s="68"/>
      <c r="P139" s="68"/>
      <c r="Q139" s="68"/>
    </row>
    <row r="140" spans="2:24" s="47" customFormat="1">
      <c r="C140" s="48"/>
      <c r="F140" s="68"/>
      <c r="J140" s="68"/>
      <c r="K140" s="68"/>
      <c r="P140" s="68"/>
      <c r="Q140" s="68"/>
    </row>
    <row r="141" spans="2:24">
      <c r="C141" s="48"/>
      <c r="F141" s="68"/>
      <c r="J141" s="68"/>
      <c r="K141" s="68"/>
      <c r="P141" s="68"/>
      <c r="Q141" s="68"/>
    </row>
    <row r="142" spans="2:24" ht="12" customHeight="1"/>
    <row r="143" spans="2:24" s="47" customFormat="1"/>
    <row r="145" s="47" customFormat="1"/>
    <row r="146" s="47" customFormat="1"/>
    <row r="147" s="47" customFormat="1"/>
    <row r="148" s="47" customFormat="1"/>
    <row r="149" s="47" customFormat="1"/>
    <row r="150" s="47" customFormat="1"/>
    <row r="151" s="47" customFormat="1"/>
    <row r="152" s="47" customFormat="1"/>
    <row r="153" s="47" customFormat="1"/>
    <row r="154" s="47" customFormat="1"/>
    <row r="155" s="47" customFormat="1"/>
    <row r="156" s="47" customFormat="1"/>
    <row r="157" s="47" customFormat="1"/>
    <row r="158" s="47" customFormat="1"/>
    <row r="159" s="47" customFormat="1"/>
    <row r="160" s="47" customFormat="1"/>
    <row r="161" s="47" customFormat="1"/>
    <row r="234" spans="2:2">
      <c r="B234" s="77"/>
    </row>
    <row r="241" spans="2:9">
      <c r="C241" s="68"/>
      <c r="E241" s="63"/>
      <c r="F241" s="63"/>
    </row>
    <row r="242" spans="2:9">
      <c r="B242" s="68"/>
      <c r="C242" s="63"/>
      <c r="D242" s="79"/>
      <c r="E242" s="63"/>
      <c r="F242" s="63"/>
    </row>
    <row r="245" spans="2:9">
      <c r="B245" s="68"/>
      <c r="D245" s="69"/>
      <c r="E245" s="68"/>
      <c r="F245" s="68"/>
      <c r="H245" s="68"/>
      <c r="I245" s="68"/>
    </row>
    <row r="246" spans="2:9">
      <c r="B246" s="68"/>
      <c r="D246" s="69"/>
      <c r="E246" s="68"/>
      <c r="F246" s="68"/>
      <c r="H246" s="68"/>
      <c r="I246" s="68"/>
    </row>
    <row r="247" spans="2:9">
      <c r="B247" s="68"/>
      <c r="D247" s="69"/>
      <c r="E247" s="68"/>
      <c r="F247" s="68"/>
      <c r="H247" s="68"/>
      <c r="I247" s="68"/>
    </row>
    <row r="248" spans="2:9">
      <c r="B248" s="68"/>
      <c r="D248" s="69"/>
      <c r="E248" s="68"/>
      <c r="F248" s="68"/>
      <c r="H248" s="68"/>
      <c r="I248" s="68"/>
    </row>
    <row r="249" spans="2:9">
      <c r="B249" s="68"/>
      <c r="D249" s="69"/>
      <c r="E249" s="68"/>
      <c r="F249" s="68"/>
      <c r="H249" s="68"/>
      <c r="I249" s="68"/>
    </row>
    <row r="250" spans="2:9">
      <c r="B250" s="68"/>
      <c r="D250" s="69"/>
      <c r="E250" s="68"/>
      <c r="F250" s="68"/>
      <c r="H250" s="68"/>
      <c r="I250" s="68"/>
    </row>
    <row r="251" spans="2:9">
      <c r="B251" s="68"/>
      <c r="D251" s="69"/>
      <c r="E251" s="68"/>
      <c r="F251" s="68"/>
      <c r="H251" s="68"/>
      <c r="I251" s="68"/>
    </row>
    <row r="252" spans="2:9">
      <c r="B252" s="68"/>
      <c r="D252" s="69"/>
      <c r="E252" s="68"/>
      <c r="F252" s="68"/>
      <c r="H252" s="68"/>
      <c r="I252" s="68"/>
    </row>
    <row r="253" spans="2:9">
      <c r="B253" s="68"/>
      <c r="D253" s="69"/>
      <c r="E253" s="68"/>
      <c r="F253" s="68"/>
      <c r="H253" s="68"/>
      <c r="I253" s="68"/>
    </row>
    <row r="254" spans="2:9">
      <c r="B254" s="68"/>
      <c r="D254" s="69"/>
      <c r="E254" s="68"/>
      <c r="F254" s="68"/>
      <c r="H254" s="68"/>
      <c r="I254" s="68"/>
    </row>
    <row r="255" spans="2:9">
      <c r="B255" s="68"/>
      <c r="D255" s="69"/>
      <c r="E255" s="68"/>
      <c r="F255" s="68"/>
      <c r="H255" s="68"/>
      <c r="I255" s="68"/>
    </row>
    <row r="256" spans="2:9">
      <c r="B256" s="68"/>
      <c r="D256" s="69"/>
      <c r="E256" s="68"/>
      <c r="F256" s="68"/>
      <c r="H256" s="68"/>
      <c r="I256" s="68"/>
    </row>
    <row r="257" spans="2:9">
      <c r="B257" s="68"/>
      <c r="D257" s="69"/>
      <c r="E257" s="68"/>
      <c r="F257" s="68"/>
      <c r="H257" s="68"/>
      <c r="I257" s="68"/>
    </row>
  </sheetData>
  <mergeCells count="2">
    <mergeCell ref="D2:D3"/>
    <mergeCell ref="B2:C3"/>
  </mergeCells>
  <dataValidations count="21">
    <dataValidation allowBlank="1" showInputMessage="1" showErrorMessage="1" promptTitle="Start Byte:" prompt="The starting byte index within the frame for a given field." sqref="H7 H74 H115"/>
    <dataValidation allowBlank="1" showInputMessage="1" showErrorMessage="1" promptTitle="End Byte:" prompt="The ending byte index within the frame for a given field." sqref="I7:J7 I74:J74 I115:J115"/>
    <dataValidation allowBlank="1" showInputMessage="1" showErrorMessage="1" promptTitle="Number of Bytes:" prompt="The total number of bytes that the field occupies within the frame." sqref="K7 K74 K115"/>
    <dataValidation allowBlank="1" showInputMessage="1" showErrorMessage="1" promptTitle="Bit Size:" prompt="The size of the field in bits, which is particularly relevant for fields that do not align to full byte boundaries." sqref="L7 L74 L115"/>
    <dataValidation allowBlank="1" showInputMessage="1" showErrorMessage="1" promptTitle="DataType:" prompt="The type of data (e.g., integer, float, string) expected within the field." sqref="M7 M74 M115"/>
    <dataValidation allowBlank="1" showInputMessage="1" showErrorMessage="1" promptTitle="Value Definition:" prompt="A description of what the field represents, such as a range of values, fixed values, or identifiers." sqref="N7 N74 N115"/>
    <dataValidation allowBlank="1" showInputMessage="1" showErrorMessage="1" promptTitle="Display Value (Min):" prompt="The minimum value that can be displayed or represented for the field." sqref="O7 O74 O115"/>
    <dataValidation allowBlank="1" showInputMessage="1" showErrorMessage="1" promptTitle="Display Value (Max):" prompt="The maximum value that can be displayed or represented for the field." sqref="P7 P74 P115"/>
    <dataValidation allowBlank="1" showInputMessage="1" showErrorMessage="1" promptTitle="Value in Hex (Min):" prompt="The minimum value of the field expressed in hexadecimal format." sqref="Q7 Q74 Q115"/>
    <dataValidation allowBlank="1" showInputMessage="1" showErrorMessage="1" promptTitle="Value in Hex(Max)" prompt=" The maximum value of the field expressed in hexadecimal format." sqref="R7 R74 R115"/>
    <dataValidation allowBlank="1" showInputMessage="1" showErrorMessage="1" promptTitle="UI Type:" prompt="The type of user interface element that should be used to display or input the field's data (e.g., slider, toggle switch)." sqref="S7 S74 S115"/>
    <dataValidation allowBlank="1" showInputMessage="1" showErrorMessage="1" promptTitle="UI id:" prompt="A unique identifier for the UI element corresponding to the field." sqref="T7 T74 T115"/>
    <dataValidation allowBlank="1" showInputMessage="1" showErrorMessage="1" promptTitle="UI Page Number" prompt="Page Number where this UI should place" sqref="U7 U74 U115"/>
    <dataValidation allowBlank="1" showInputMessage="1" showErrorMessage="1" promptTitle="UI description IN/OUT" prompt="Describes whether the UI element is for input, output, or both." sqref="V7 V74 V115"/>
    <dataValidation allowBlank="1" showInputMessage="1" showErrorMessage="1" promptTitle="Slider Step Value" prompt="Slider increment/decrement step value" sqref="W7:X7 W74 W115"/>
    <dataValidation allowBlank="1" showInputMessage="1" showErrorMessage="1" promptTitle="NOTES" prompt="Any additional notes for developers regarding the implementation or handling of the field." sqref="Y7 X74 X115"/>
    <dataValidation allowBlank="1" showInputMessage="1" showErrorMessage="1" promptTitle="Frame Trigger:" prompt="Indicates what event or action triggers the transmission of the frame." sqref="B12 B79 B120"/>
    <dataValidation allowBlank="1" showInputMessage="1" showErrorMessage="1" promptTitle="Voice Control Instruction Text:" prompt="Likely pertains to the specific text associated with a voice command." sqref="B15 B81 B122"/>
    <dataValidation allowBlank="1" showInputMessage="1" showErrorMessage="1" promptTitle="Voice Command: " prompt="Indicates whether the frame is related to a voice command." sqref="B80 B121 B13:B14"/>
    <dataValidation allowBlank="1" showInputMessage="1" showErrorMessage="1" promptTitle="App Notification: " prompt="Specifies whether the frame is related to an application notification." sqref="B82 B123 B16:B20"/>
    <dataValidation allowBlank="1" showInputMessage="1" showErrorMessage="1" promptTitle="Parameter Name" prompt="Typically used to identify the purpose of the parameter. " sqref="B8:B11 B75:B78 B116:B119"/>
  </dataValidations>
  <pageMargins left="0.7" right="0.7" top="0.75" bottom="0.75" header="0.511811023622047" footer="0.511811023622047"/>
  <pageSetup orientation="portrait" horizontalDpi="300" verticalDpi="300"/>
  <extLst>
    <ext xmlns:x14="http://schemas.microsoft.com/office/spreadsheetml/2009/9/main" uri="{CCE6A557-97BC-4b89-ADB6-D9C93CAAB3DF}">
      <x14:dataValidations xmlns:xm="http://schemas.microsoft.com/office/excel/2006/main" count="12">
        <x14:dataValidation type="list" allowBlank="1" showInputMessage="1" showErrorMessage="1">
          <x14:formula1>
            <xm:f>HiddenSheet!$C$256:$C$257</xm:f>
          </x14:formula1>
          <xm:sqref>C9 C76 C117</xm:sqref>
        </x14:dataValidation>
        <x14:dataValidation type="list" allowBlank="1" showInputMessage="1" showErrorMessage="1">
          <x14:formula1>
            <xm:f>HiddenSheet!$B$54:$B$134</xm:f>
          </x14:formula1>
          <xm:sqref>C11 C78 C119 F25:F26 G21:G22 G88:G89 G129:G130 K8:K11 K13:K22 K75:K89 K116:K130 G75:I87 G116:I128 B23:D26 F23:H24 G8:I20</xm:sqref>
        </x14:dataValidation>
        <x14:dataValidation type="list" allowBlank="1" showInputMessage="1" showErrorMessage="1">
          <x14:formula1>
            <xm:f>HiddenSheet!$B$277:$B$292</xm:f>
          </x14:formula1>
          <xm:sqref>C12 W76 C79 W117 C120 S8:S9 S75:S76 S116:S117</xm:sqref>
        </x14:dataValidation>
        <x14:dataValidation type="list" allowBlank="1" showInputMessage="1" showErrorMessage="1">
          <x14:formula1>
            <xm:f>HiddenSheet!$E$341:$E$343</xm:f>
          </x14:formula1>
          <xm:sqref>V75 V116 V8:V11 V13:V21 U76:V88 U117:V129</xm:sqref>
        </x14:dataValidation>
        <x14:dataValidation type="list" allowBlank="1" showInputMessage="1" showErrorMessage="1">
          <x14:formula1>
            <xm:f>HiddenSheet!$G$340:$G$341</xm:f>
          </x14:formula1>
          <xm:sqref>C80 C82 C121 C123 B83:B87 B124:B128 C13:C14 C16:C20</xm:sqref>
        </x14:dataValidation>
        <x14:dataValidation type="list" allowBlank="1" showInputMessage="1" showErrorMessage="1">
          <x14:formula1>
            <xm:f>HiddenSheet!$C$190:$C$210</xm:f>
          </x14:formula1>
          <xm:sqref>E23:E26</xm:sqref>
        </x14:dataValidation>
        <x14:dataValidation type="list" allowBlank="1" showInputMessage="1" showErrorMessage="1">
          <x14:formula1>
            <xm:f>HiddenSheet!$D$341:$D$344</xm:f>
          </x14:formula1>
          <xm:sqref>G25:G26 N8:N11 N13:N18 N75:N85 N116:N126</xm:sqref>
        </x14:dataValidation>
        <x14:dataValidation type="list" allowBlank="1" showInputMessage="1" showErrorMessage="1">
          <x14:formula1>
            <xm:f>HiddenSheet!$C$190:$C$199</xm:f>
          </x14:formula1>
          <xm:sqref>J8:J11 J13:J22 J75:J89 J116:J130</xm:sqref>
        </x14:dataValidation>
        <x14:dataValidation type="list" allowBlank="1" showInputMessage="1" showErrorMessage="1">
          <x14:formula1>
            <xm:f>HiddenSheet!$B$341:$B$344</xm:f>
          </x14:formula1>
          <xm:sqref>L8:L11 L13:L22 L25:L26 L75:L89 L116:L130</xm:sqref>
        </x14:dataValidation>
        <x14:dataValidation type="list" allowBlank="1" showInputMessage="1" showErrorMessage="1">
          <x14:formula1>
            <xm:f>HiddenSheet!$D$54:$D$58</xm:f>
          </x14:formula1>
          <xm:sqref>M8:M11 M13:M22 M25:M26 M75:M89 M116:M130</xm:sqref>
        </x14:dataValidation>
        <x14:dataValidation type="list" allowBlank="1" showInputMessage="1" showErrorMessage="1">
          <x14:formula1>
            <xm:f>HiddenSheet!$D$340:$D$345</xm:f>
          </x14:formula1>
          <xm:sqref>N19:N22 N86:N89 N127:N130</xm:sqref>
        </x14:dataValidation>
        <x14:dataValidation type="list" allowBlank="1" showInputMessage="1" showErrorMessage="1">
          <x14:formula1>
            <xm:f>HiddenSheet!$B$277:$B$290</xm:f>
          </x14:formula1>
          <xm:sqref>N25:N26 S10:S11 S13:S21 S77:S88 S118:S129 W77:W88 W118:W129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346"/>
  <sheetViews>
    <sheetView topLeftCell="A330" zoomScale="39" zoomScaleNormal="39" workbookViewId="0">
      <selection activeCell="E341" sqref="E341"/>
    </sheetView>
  </sheetViews>
  <sheetFormatPr defaultColWidth="9" defaultRowHeight="14.4"/>
  <cols>
    <col min="2" max="2" width="18.44140625" customWidth="1"/>
    <col min="3" max="3" width="65.21875" customWidth="1"/>
    <col min="4" max="4" width="20.77734375" customWidth="1"/>
    <col min="5" max="5" width="11.6640625" customWidth="1"/>
    <col min="14" max="14" width="53" customWidth="1"/>
  </cols>
  <sheetData>
    <row r="2" spans="2:14" ht="14.25" customHeight="1">
      <c r="B2" s="1" t="s">
        <v>61</v>
      </c>
      <c r="C2" s="2" t="s">
        <v>62</v>
      </c>
      <c r="D2" s="3"/>
      <c r="H2" s="137" t="s">
        <v>22</v>
      </c>
      <c r="I2" s="136" t="s">
        <v>190</v>
      </c>
      <c r="J2" s="136" t="s">
        <v>191</v>
      </c>
      <c r="K2" s="136" t="s">
        <v>76</v>
      </c>
      <c r="L2" s="136" t="s">
        <v>192</v>
      </c>
      <c r="M2" s="137" t="s">
        <v>193</v>
      </c>
      <c r="N2" s="139" t="s">
        <v>194</v>
      </c>
    </row>
    <row r="3" spans="2:14">
      <c r="B3" s="4" t="s">
        <v>195</v>
      </c>
      <c r="C3" s="5" t="s">
        <v>196</v>
      </c>
      <c r="D3" s="5" t="s">
        <v>86</v>
      </c>
      <c r="H3" s="137"/>
      <c r="I3" s="137"/>
      <c r="J3" s="137"/>
      <c r="K3" s="137"/>
      <c r="L3" s="137"/>
      <c r="M3" s="137"/>
      <c r="N3" s="139"/>
    </row>
    <row r="4" spans="2:14" ht="41.4">
      <c r="B4" s="4" t="s">
        <v>197</v>
      </c>
      <c r="C4" s="5" t="s">
        <v>198</v>
      </c>
      <c r="D4" s="5" t="s">
        <v>199</v>
      </c>
      <c r="H4" s="6" t="s">
        <v>22</v>
      </c>
      <c r="I4" s="6" t="s">
        <v>200</v>
      </c>
      <c r="J4" s="6" t="s">
        <v>163</v>
      </c>
      <c r="K4" s="6" t="s">
        <v>201</v>
      </c>
      <c r="L4" s="6" t="s">
        <v>202</v>
      </c>
      <c r="M4" s="17" t="s">
        <v>203</v>
      </c>
      <c r="N4" t="s">
        <v>204</v>
      </c>
    </row>
    <row r="5" spans="2:14" ht="41.4">
      <c r="B5" s="4" t="s">
        <v>205</v>
      </c>
      <c r="C5" s="5" t="s">
        <v>206</v>
      </c>
      <c r="D5" s="5" t="s">
        <v>207</v>
      </c>
      <c r="H5" s="7" t="s">
        <v>176</v>
      </c>
      <c r="I5" s="7" t="s">
        <v>208</v>
      </c>
      <c r="J5" s="7" t="s">
        <v>209</v>
      </c>
      <c r="K5" s="7" t="s">
        <v>210</v>
      </c>
      <c r="L5" s="7" t="s">
        <v>202</v>
      </c>
      <c r="M5" s="17" t="s">
        <v>211</v>
      </c>
      <c r="N5" t="s">
        <v>212</v>
      </c>
    </row>
    <row r="6" spans="2:14" ht="41.4">
      <c r="B6" s="4" t="s">
        <v>213</v>
      </c>
      <c r="C6" s="5" t="s">
        <v>214</v>
      </c>
      <c r="D6" s="5" t="s">
        <v>215</v>
      </c>
      <c r="H6" s="6" t="s">
        <v>216</v>
      </c>
      <c r="I6" s="6" t="s">
        <v>217</v>
      </c>
      <c r="J6" s="6" t="s">
        <v>218</v>
      </c>
      <c r="K6" s="6" t="s">
        <v>219</v>
      </c>
      <c r="L6" s="6" t="s">
        <v>202</v>
      </c>
      <c r="M6" s="17" t="s">
        <v>220</v>
      </c>
      <c r="N6" t="s">
        <v>221</v>
      </c>
    </row>
    <row r="7" spans="2:14" ht="27.6">
      <c r="B7" s="4" t="s">
        <v>222</v>
      </c>
      <c r="C7" s="5" t="s">
        <v>223</v>
      </c>
      <c r="D7" s="5" t="s">
        <v>86</v>
      </c>
      <c r="H7" s="7" t="s">
        <v>224</v>
      </c>
      <c r="I7" s="7" t="s">
        <v>225</v>
      </c>
      <c r="J7" s="7" t="s">
        <v>218</v>
      </c>
      <c r="K7" s="7" t="s">
        <v>219</v>
      </c>
      <c r="L7" s="7" t="s">
        <v>202</v>
      </c>
      <c r="M7" s="17" t="s">
        <v>226</v>
      </c>
      <c r="N7" t="s">
        <v>227</v>
      </c>
    </row>
    <row r="8" spans="2:14" ht="27.6">
      <c r="B8" s="4" t="s">
        <v>228</v>
      </c>
      <c r="C8" s="5" t="s">
        <v>229</v>
      </c>
      <c r="D8" s="5" t="s">
        <v>230</v>
      </c>
      <c r="H8" s="6" t="s">
        <v>231</v>
      </c>
      <c r="I8" s="6" t="s">
        <v>232</v>
      </c>
      <c r="J8" s="6" t="s">
        <v>218</v>
      </c>
      <c r="K8" s="6" t="s">
        <v>219</v>
      </c>
      <c r="L8" s="6" t="s">
        <v>202</v>
      </c>
      <c r="M8" s="17" t="s">
        <v>233</v>
      </c>
      <c r="N8" t="s">
        <v>234</v>
      </c>
    </row>
    <row r="9" spans="2:14" ht="41.4">
      <c r="C9" s="5" t="s">
        <v>235</v>
      </c>
      <c r="D9" s="5" t="s">
        <v>236</v>
      </c>
      <c r="H9" s="7" t="s">
        <v>237</v>
      </c>
      <c r="I9" s="7" t="s">
        <v>238</v>
      </c>
      <c r="J9" s="7" t="s">
        <v>218</v>
      </c>
      <c r="K9" s="7" t="s">
        <v>219</v>
      </c>
      <c r="L9" s="7" t="s">
        <v>202</v>
      </c>
      <c r="M9" s="17" t="s">
        <v>220</v>
      </c>
      <c r="N9" t="s">
        <v>239</v>
      </c>
    </row>
    <row r="10" spans="2:14" ht="41.4">
      <c r="C10" s="5" t="s">
        <v>240</v>
      </c>
      <c r="D10" s="5" t="s">
        <v>241</v>
      </c>
      <c r="H10" s="6" t="s">
        <v>242</v>
      </c>
      <c r="I10" s="6" t="s">
        <v>243</v>
      </c>
      <c r="J10" s="6" t="s">
        <v>218</v>
      </c>
      <c r="K10" s="6" t="s">
        <v>219</v>
      </c>
      <c r="L10" s="6" t="s">
        <v>202</v>
      </c>
      <c r="M10" s="17" t="s">
        <v>220</v>
      </c>
      <c r="N10" t="s">
        <v>244</v>
      </c>
    </row>
    <row r="11" spans="2:14" ht="41.4">
      <c r="C11" s="5" t="s">
        <v>245</v>
      </c>
      <c r="D11" s="5" t="s">
        <v>246</v>
      </c>
      <c r="H11" s="7" t="s">
        <v>180</v>
      </c>
      <c r="I11" s="7" t="s">
        <v>247</v>
      </c>
      <c r="J11" s="7" t="s">
        <v>218</v>
      </c>
      <c r="K11" s="7" t="s">
        <v>219</v>
      </c>
      <c r="L11" s="7" t="s">
        <v>202</v>
      </c>
      <c r="M11" s="17" t="s">
        <v>248</v>
      </c>
      <c r="N11" t="s">
        <v>249</v>
      </c>
    </row>
    <row r="12" spans="2:14" ht="41.4">
      <c r="C12" s="5" t="s">
        <v>250</v>
      </c>
      <c r="D12" s="5" t="s">
        <v>251</v>
      </c>
      <c r="H12" s="6" t="s">
        <v>166</v>
      </c>
      <c r="I12" s="6" t="s">
        <v>252</v>
      </c>
      <c r="J12" s="6" t="s">
        <v>218</v>
      </c>
      <c r="K12" s="6" t="s">
        <v>253</v>
      </c>
      <c r="L12" s="6" t="s">
        <v>202</v>
      </c>
      <c r="M12" s="17" t="s">
        <v>254</v>
      </c>
      <c r="N12" t="s">
        <v>255</v>
      </c>
    </row>
    <row r="13" spans="2:14" ht="41.4">
      <c r="C13" s="5" t="s">
        <v>256</v>
      </c>
      <c r="D13" s="5" t="s">
        <v>257</v>
      </c>
      <c r="H13" s="7" t="s">
        <v>258</v>
      </c>
      <c r="I13" s="7" t="s">
        <v>259</v>
      </c>
      <c r="J13" s="7" t="s">
        <v>95</v>
      </c>
      <c r="K13" s="6" t="s">
        <v>201</v>
      </c>
      <c r="L13" s="7" t="s">
        <v>167</v>
      </c>
      <c r="M13" s="17" t="s">
        <v>211</v>
      </c>
      <c r="N13" t="s">
        <v>260</v>
      </c>
    </row>
    <row r="14" spans="2:14" ht="41.4">
      <c r="C14" s="5" t="s">
        <v>261</v>
      </c>
      <c r="D14" s="5" t="s">
        <v>262</v>
      </c>
      <c r="H14" s="8" t="s">
        <v>263</v>
      </c>
      <c r="I14" s="8" t="s">
        <v>264</v>
      </c>
      <c r="J14" s="17" t="s">
        <v>209</v>
      </c>
      <c r="K14" s="7" t="s">
        <v>265</v>
      </c>
      <c r="L14" s="17" t="s">
        <v>202</v>
      </c>
      <c r="M14" s="7" t="s">
        <v>211</v>
      </c>
      <c r="N14" t="s">
        <v>266</v>
      </c>
    </row>
    <row r="15" spans="2:14" ht="39" customHeight="1">
      <c r="C15" s="5" t="s">
        <v>267</v>
      </c>
      <c r="D15" s="5" t="s">
        <v>268</v>
      </c>
      <c r="H15" s="9" t="s">
        <v>269</v>
      </c>
      <c r="I15" s="8" t="s">
        <v>264</v>
      </c>
      <c r="J15" s="17" t="s">
        <v>270</v>
      </c>
      <c r="K15" s="7" t="s">
        <v>265</v>
      </c>
      <c r="L15" s="17" t="s">
        <v>202</v>
      </c>
      <c r="M15" s="138" t="s">
        <v>271</v>
      </c>
      <c r="N15" t="s">
        <v>272</v>
      </c>
    </row>
    <row r="16" spans="2:14" ht="41.4">
      <c r="C16" s="5" t="s">
        <v>273</v>
      </c>
      <c r="D16" s="5" t="s">
        <v>274</v>
      </c>
      <c r="H16" s="7" t="s">
        <v>275</v>
      </c>
      <c r="I16" s="7" t="s">
        <v>276</v>
      </c>
      <c r="J16" s="7" t="s">
        <v>163</v>
      </c>
      <c r="K16" s="7" t="s">
        <v>253</v>
      </c>
      <c r="L16" s="7" t="s">
        <v>202</v>
      </c>
      <c r="M16" s="138"/>
      <c r="N16" t="s">
        <v>277</v>
      </c>
    </row>
    <row r="17" spans="2:14" ht="69">
      <c r="C17" s="5" t="s">
        <v>278</v>
      </c>
      <c r="D17" s="5" t="s">
        <v>279</v>
      </c>
      <c r="H17" s="9" t="s">
        <v>280</v>
      </c>
      <c r="I17" s="9" t="s">
        <v>281</v>
      </c>
      <c r="J17" s="17" t="s">
        <v>270</v>
      </c>
      <c r="K17" s="7" t="s">
        <v>265</v>
      </c>
      <c r="L17" s="17" t="s">
        <v>158</v>
      </c>
      <c r="M17" s="7" t="s">
        <v>211</v>
      </c>
      <c r="N17" t="s">
        <v>282</v>
      </c>
    </row>
    <row r="18" spans="2:14" ht="41.4">
      <c r="C18" s="10" t="s">
        <v>91</v>
      </c>
      <c r="H18" s="8" t="s">
        <v>283</v>
      </c>
      <c r="I18" s="8" t="s">
        <v>284</v>
      </c>
      <c r="J18" s="17" t="s">
        <v>218</v>
      </c>
      <c r="K18" s="7" t="s">
        <v>265</v>
      </c>
      <c r="L18" s="17" t="s">
        <v>202</v>
      </c>
      <c r="M18" s="7" t="s">
        <v>285</v>
      </c>
      <c r="N18" t="s">
        <v>286</v>
      </c>
    </row>
    <row r="19" spans="2:14" ht="41.4">
      <c r="H19" s="6" t="s">
        <v>80</v>
      </c>
      <c r="I19" s="6" t="s">
        <v>287</v>
      </c>
      <c r="J19" s="6" t="s">
        <v>218</v>
      </c>
      <c r="K19" s="6" t="s">
        <v>219</v>
      </c>
      <c r="L19" s="17" t="s">
        <v>158</v>
      </c>
      <c r="M19" s="6" t="s">
        <v>220</v>
      </c>
      <c r="N19" t="s">
        <v>288</v>
      </c>
    </row>
    <row r="20" spans="2:14" ht="41.4">
      <c r="H20" s="7" t="s">
        <v>289</v>
      </c>
      <c r="I20" s="7" t="s">
        <v>290</v>
      </c>
      <c r="J20" s="7" t="s">
        <v>218</v>
      </c>
      <c r="K20" s="7" t="s">
        <v>219</v>
      </c>
      <c r="L20" s="6" t="s">
        <v>158</v>
      </c>
      <c r="M20" s="7" t="s">
        <v>220</v>
      </c>
      <c r="N20" t="s">
        <v>291</v>
      </c>
    </row>
    <row r="21" spans="2:14" ht="41.4">
      <c r="H21" s="9" t="s">
        <v>292</v>
      </c>
      <c r="I21" s="9" t="s">
        <v>293</v>
      </c>
      <c r="J21" s="17" t="s">
        <v>218</v>
      </c>
      <c r="K21" s="6" t="s">
        <v>253</v>
      </c>
      <c r="L21" s="7" t="s">
        <v>158</v>
      </c>
      <c r="M21" s="6" t="s">
        <v>285</v>
      </c>
      <c r="N21" t="s">
        <v>294</v>
      </c>
    </row>
    <row r="22" spans="2:14" ht="41.4">
      <c r="H22" s="7" t="s">
        <v>295</v>
      </c>
      <c r="I22" s="7" t="s">
        <v>296</v>
      </c>
      <c r="J22" s="7" t="s">
        <v>163</v>
      </c>
      <c r="K22" s="7" t="s">
        <v>253</v>
      </c>
      <c r="L22" s="7" t="s">
        <v>158</v>
      </c>
      <c r="M22" s="7" t="s">
        <v>211</v>
      </c>
      <c r="N22" t="s">
        <v>297</v>
      </c>
    </row>
    <row r="23" spans="2:14" ht="55.2">
      <c r="H23" s="6" t="s">
        <v>298</v>
      </c>
      <c r="I23" s="6" t="s">
        <v>299</v>
      </c>
      <c r="J23" s="6" t="s">
        <v>163</v>
      </c>
      <c r="K23" s="6" t="s">
        <v>253</v>
      </c>
      <c r="L23" s="6" t="s">
        <v>158</v>
      </c>
      <c r="M23" s="6" t="s">
        <v>211</v>
      </c>
      <c r="N23" t="s">
        <v>300</v>
      </c>
    </row>
    <row r="24" spans="2:14" ht="55.2">
      <c r="H24" s="7" t="s">
        <v>301</v>
      </c>
      <c r="I24" s="7" t="s">
        <v>302</v>
      </c>
      <c r="J24" s="7" t="s">
        <v>163</v>
      </c>
      <c r="K24" s="7" t="s">
        <v>253</v>
      </c>
      <c r="L24" s="7" t="s">
        <v>158</v>
      </c>
      <c r="M24" s="7" t="s">
        <v>211</v>
      </c>
      <c r="N24" t="s">
        <v>303</v>
      </c>
    </row>
    <row r="25" spans="2:14" ht="41.4">
      <c r="H25" s="6" t="s">
        <v>304</v>
      </c>
      <c r="I25" s="6" t="s">
        <v>305</v>
      </c>
      <c r="J25" s="6" t="s">
        <v>95</v>
      </c>
      <c r="K25" s="6" t="s">
        <v>219</v>
      </c>
      <c r="L25" s="6" t="s">
        <v>158</v>
      </c>
      <c r="M25" s="6" t="s">
        <v>306</v>
      </c>
      <c r="N25" t="s">
        <v>307</v>
      </c>
    </row>
    <row r="26" spans="2:14" ht="27.6">
      <c r="H26" s="7" t="s">
        <v>308</v>
      </c>
      <c r="I26" s="7" t="s">
        <v>309</v>
      </c>
      <c r="J26" s="7" t="s">
        <v>209</v>
      </c>
      <c r="K26" s="7" t="s">
        <v>210</v>
      </c>
      <c r="L26" s="7" t="s">
        <v>158</v>
      </c>
      <c r="M26" s="7" t="s">
        <v>211</v>
      </c>
      <c r="N26" t="s">
        <v>310</v>
      </c>
    </row>
    <row r="27" spans="2:14" ht="41.4">
      <c r="H27" s="6" t="s">
        <v>311</v>
      </c>
      <c r="I27" s="6" t="s">
        <v>312</v>
      </c>
      <c r="J27" s="6" t="s">
        <v>163</v>
      </c>
      <c r="K27" s="6" t="s">
        <v>253</v>
      </c>
      <c r="L27" s="6" t="s">
        <v>158</v>
      </c>
      <c r="M27" s="6" t="s">
        <v>211</v>
      </c>
      <c r="N27" t="s">
        <v>313</v>
      </c>
    </row>
    <row r="28" spans="2:14" ht="41.4">
      <c r="H28" s="7" t="s">
        <v>314</v>
      </c>
      <c r="I28" s="7" t="s">
        <v>315</v>
      </c>
      <c r="J28" s="7" t="s">
        <v>163</v>
      </c>
      <c r="K28" s="7" t="s">
        <v>253</v>
      </c>
      <c r="L28" s="7" t="s">
        <v>158</v>
      </c>
      <c r="M28" s="7" t="s">
        <v>211</v>
      </c>
      <c r="N28" t="s">
        <v>316</v>
      </c>
    </row>
    <row r="29" spans="2:14" ht="69">
      <c r="B29" s="11"/>
      <c r="H29" s="6" t="s">
        <v>317</v>
      </c>
      <c r="I29" s="6" t="s">
        <v>318</v>
      </c>
      <c r="J29" s="6" t="s">
        <v>319</v>
      </c>
      <c r="K29" s="6" t="s">
        <v>210</v>
      </c>
      <c r="L29" s="6" t="s">
        <v>167</v>
      </c>
      <c r="M29" s="6" t="s">
        <v>211</v>
      </c>
      <c r="N29" t="s">
        <v>320</v>
      </c>
    </row>
    <row r="30" spans="2:14" ht="69">
      <c r="H30" s="7" t="s">
        <v>321</v>
      </c>
      <c r="I30" s="7" t="s">
        <v>322</v>
      </c>
      <c r="J30" s="7" t="s">
        <v>319</v>
      </c>
      <c r="K30" s="7" t="s">
        <v>210</v>
      </c>
      <c r="L30" s="7" t="s">
        <v>167</v>
      </c>
      <c r="M30" s="7" t="s">
        <v>211</v>
      </c>
      <c r="N30" t="s">
        <v>323</v>
      </c>
    </row>
    <row r="31" spans="2:14" ht="41.4">
      <c r="H31" s="6" t="s">
        <v>324</v>
      </c>
      <c r="I31" s="6" t="s">
        <v>325</v>
      </c>
      <c r="J31" s="6" t="s">
        <v>319</v>
      </c>
      <c r="K31" s="6" t="s">
        <v>210</v>
      </c>
      <c r="L31" s="6" t="s">
        <v>158</v>
      </c>
      <c r="M31" s="6" t="s">
        <v>211</v>
      </c>
      <c r="N31" t="s">
        <v>326</v>
      </c>
    </row>
    <row r="32" spans="2:14" ht="41.4">
      <c r="H32" s="7" t="s">
        <v>327</v>
      </c>
      <c r="I32" s="7" t="s">
        <v>328</v>
      </c>
      <c r="J32" s="7" t="s">
        <v>319</v>
      </c>
      <c r="K32" s="7" t="s">
        <v>210</v>
      </c>
      <c r="L32" s="7" t="s">
        <v>167</v>
      </c>
      <c r="M32" s="7" t="s">
        <v>211</v>
      </c>
      <c r="N32" t="s">
        <v>329</v>
      </c>
    </row>
    <row r="33" spans="3:14" ht="41.4">
      <c r="H33" s="6" t="s">
        <v>330</v>
      </c>
      <c r="I33" s="6" t="s">
        <v>331</v>
      </c>
      <c r="J33" s="6" t="s">
        <v>319</v>
      </c>
      <c r="K33" s="6" t="s">
        <v>210</v>
      </c>
      <c r="L33" s="6" t="s">
        <v>167</v>
      </c>
      <c r="M33" s="6" t="s">
        <v>211</v>
      </c>
      <c r="N33" t="s">
        <v>332</v>
      </c>
    </row>
    <row r="34" spans="3:14" ht="69">
      <c r="H34" s="7" t="s">
        <v>333</v>
      </c>
      <c r="I34" s="7" t="s">
        <v>334</v>
      </c>
      <c r="J34" s="7" t="s">
        <v>319</v>
      </c>
      <c r="K34" s="7" t="s">
        <v>210</v>
      </c>
      <c r="L34" s="7" t="s">
        <v>167</v>
      </c>
      <c r="M34" s="7" t="s">
        <v>211</v>
      </c>
      <c r="N34" t="s">
        <v>335</v>
      </c>
    </row>
    <row r="35" spans="3:14" ht="41.4">
      <c r="H35" s="6" t="s">
        <v>336</v>
      </c>
      <c r="I35" s="6" t="s">
        <v>337</v>
      </c>
      <c r="J35" s="6" t="s">
        <v>319</v>
      </c>
      <c r="K35" s="6" t="s">
        <v>210</v>
      </c>
      <c r="L35" s="6" t="s">
        <v>167</v>
      </c>
      <c r="M35" s="6" t="s">
        <v>211</v>
      </c>
      <c r="N35" t="s">
        <v>338</v>
      </c>
    </row>
    <row r="38" spans="3:14">
      <c r="C38" s="11"/>
      <c r="D38" s="12"/>
    </row>
    <row r="53" spans="2:6">
      <c r="B53" s="13" t="s">
        <v>206</v>
      </c>
      <c r="C53" s="14" t="s">
        <v>214</v>
      </c>
      <c r="D53" s="14" t="s">
        <v>229</v>
      </c>
      <c r="E53" s="15" t="s">
        <v>339</v>
      </c>
    </row>
    <row r="54" spans="2:6">
      <c r="B54" s="16">
        <v>1</v>
      </c>
      <c r="C54" s="5" t="s">
        <v>340</v>
      </c>
      <c r="D54" s="5" t="s">
        <v>246</v>
      </c>
    </row>
    <row r="55" spans="2:6">
      <c r="B55" s="16">
        <v>2</v>
      </c>
      <c r="C55" s="5" t="s">
        <v>341</v>
      </c>
      <c r="D55" s="5" t="s">
        <v>342</v>
      </c>
    </row>
    <row r="56" spans="2:6">
      <c r="B56" s="16">
        <v>3</v>
      </c>
      <c r="C56" s="5" t="s">
        <v>343</v>
      </c>
      <c r="D56" s="5" t="s">
        <v>344</v>
      </c>
    </row>
    <row r="57" spans="2:6">
      <c r="B57" s="16">
        <v>4</v>
      </c>
      <c r="C57" s="5" t="s">
        <v>345</v>
      </c>
      <c r="D57" s="5" t="s">
        <v>95</v>
      </c>
    </row>
    <row r="58" spans="2:6">
      <c r="B58" s="16">
        <v>5</v>
      </c>
      <c r="C58" s="5" t="s">
        <v>346</v>
      </c>
      <c r="D58" s="5" t="s">
        <v>83</v>
      </c>
      <c r="E58" s="5" t="s">
        <v>347</v>
      </c>
      <c r="F58" s="5" t="s">
        <v>348</v>
      </c>
    </row>
    <row r="59" spans="2:6">
      <c r="B59" s="16">
        <v>6</v>
      </c>
      <c r="C59" s="5" t="s">
        <v>349</v>
      </c>
      <c r="D59" s="5"/>
    </row>
    <row r="60" spans="2:6">
      <c r="B60" s="16">
        <v>7</v>
      </c>
      <c r="C60" s="5" t="s">
        <v>350</v>
      </c>
      <c r="D60" s="5"/>
    </row>
    <row r="61" spans="2:6">
      <c r="B61" s="16">
        <v>8</v>
      </c>
      <c r="C61" s="5" t="s">
        <v>351</v>
      </c>
      <c r="D61" s="5"/>
    </row>
    <row r="62" spans="2:6">
      <c r="B62" s="16">
        <v>9</v>
      </c>
      <c r="C62" s="5" t="s">
        <v>352</v>
      </c>
      <c r="D62" s="5"/>
    </row>
    <row r="63" spans="2:6">
      <c r="B63" s="16">
        <v>10</v>
      </c>
      <c r="C63" s="5" t="s">
        <v>353</v>
      </c>
      <c r="D63" s="5"/>
    </row>
    <row r="64" spans="2:6">
      <c r="B64" s="16">
        <v>11</v>
      </c>
      <c r="C64" s="5" t="s">
        <v>354</v>
      </c>
      <c r="D64" s="5"/>
    </row>
    <row r="65" spans="2:4">
      <c r="B65" s="16">
        <v>12</v>
      </c>
      <c r="C65" s="5" t="s">
        <v>355</v>
      </c>
      <c r="D65" s="5"/>
    </row>
    <row r="66" spans="2:4">
      <c r="B66" s="16">
        <v>13</v>
      </c>
      <c r="C66" s="5" t="s">
        <v>356</v>
      </c>
      <c r="D66" s="5"/>
    </row>
    <row r="67" spans="2:4">
      <c r="B67" s="16">
        <v>14</v>
      </c>
      <c r="C67" s="5" t="s">
        <v>357</v>
      </c>
      <c r="D67" s="5"/>
    </row>
    <row r="68" spans="2:4">
      <c r="B68" s="16">
        <v>15</v>
      </c>
      <c r="C68" s="5" t="s">
        <v>358</v>
      </c>
      <c r="D68" s="5"/>
    </row>
    <row r="69" spans="2:4">
      <c r="B69" s="16">
        <v>16</v>
      </c>
      <c r="C69" s="5" t="s">
        <v>359</v>
      </c>
      <c r="D69" s="5"/>
    </row>
    <row r="70" spans="2:4">
      <c r="B70" s="16">
        <v>17</v>
      </c>
      <c r="C70" s="5" t="s">
        <v>360</v>
      </c>
      <c r="D70" s="5"/>
    </row>
    <row r="71" spans="2:4">
      <c r="B71" s="16">
        <v>18</v>
      </c>
      <c r="C71" s="5" t="s">
        <v>361</v>
      </c>
      <c r="D71" s="5"/>
    </row>
    <row r="72" spans="2:4">
      <c r="B72" s="16">
        <v>19</v>
      </c>
      <c r="C72" s="5" t="s">
        <v>362</v>
      </c>
      <c r="D72" s="5"/>
    </row>
    <row r="73" spans="2:4">
      <c r="B73" s="16">
        <v>20</v>
      </c>
      <c r="C73" s="5" t="s">
        <v>363</v>
      </c>
      <c r="D73" s="5"/>
    </row>
    <row r="74" spans="2:4">
      <c r="B74" s="16">
        <v>21</v>
      </c>
      <c r="C74" s="5" t="s">
        <v>364</v>
      </c>
      <c r="D74" s="5"/>
    </row>
    <row r="75" spans="2:4">
      <c r="B75" s="16">
        <v>22</v>
      </c>
      <c r="C75" s="5" t="s">
        <v>365</v>
      </c>
      <c r="D75" s="5"/>
    </row>
    <row r="76" spans="2:4">
      <c r="B76" s="16">
        <v>23</v>
      </c>
      <c r="C76" s="5" t="s">
        <v>366</v>
      </c>
      <c r="D76" s="5"/>
    </row>
    <row r="77" spans="2:4">
      <c r="B77" s="16">
        <v>24</v>
      </c>
      <c r="C77" s="5" t="s">
        <v>367</v>
      </c>
      <c r="D77" s="5"/>
    </row>
    <row r="78" spans="2:4">
      <c r="B78" s="16">
        <v>25</v>
      </c>
      <c r="C78" s="5" t="s">
        <v>368</v>
      </c>
      <c r="D78" s="5"/>
    </row>
    <row r="79" spans="2:4">
      <c r="B79" s="16">
        <v>26</v>
      </c>
      <c r="C79" s="5" t="s">
        <v>369</v>
      </c>
      <c r="D79" s="5"/>
    </row>
    <row r="80" spans="2:4">
      <c r="B80" s="16">
        <v>27</v>
      </c>
      <c r="C80" s="5" t="s">
        <v>370</v>
      </c>
      <c r="D80" s="5"/>
    </row>
    <row r="81" spans="2:4">
      <c r="B81" s="16">
        <v>28</v>
      </c>
      <c r="C81" s="5" t="s">
        <v>371</v>
      </c>
      <c r="D81" s="5"/>
    </row>
    <row r="82" spans="2:4">
      <c r="B82" s="16">
        <v>29</v>
      </c>
      <c r="C82" s="5" t="s">
        <v>372</v>
      </c>
      <c r="D82" s="5"/>
    </row>
    <row r="83" spans="2:4">
      <c r="B83" s="16">
        <v>30</v>
      </c>
      <c r="C83" s="5" t="s">
        <v>373</v>
      </c>
      <c r="D83" s="5"/>
    </row>
    <row r="84" spans="2:4">
      <c r="B84" s="16">
        <v>31</v>
      </c>
      <c r="C84" s="5" t="s">
        <v>374</v>
      </c>
      <c r="D84" s="5"/>
    </row>
    <row r="85" spans="2:4">
      <c r="B85" s="16">
        <v>32</v>
      </c>
      <c r="C85" s="5" t="s">
        <v>375</v>
      </c>
      <c r="D85" s="5"/>
    </row>
    <row r="86" spans="2:4">
      <c r="B86" s="16">
        <v>33</v>
      </c>
      <c r="D86" s="5"/>
    </row>
    <row r="87" spans="2:4">
      <c r="B87" s="16">
        <v>34</v>
      </c>
      <c r="D87" s="5"/>
    </row>
    <row r="88" spans="2:4">
      <c r="B88" s="16">
        <v>35</v>
      </c>
      <c r="D88" s="5"/>
    </row>
    <row r="89" spans="2:4">
      <c r="B89" s="16">
        <v>36</v>
      </c>
      <c r="D89" s="5"/>
    </row>
    <row r="90" spans="2:4">
      <c r="B90" s="16">
        <v>37</v>
      </c>
      <c r="D90" s="5"/>
    </row>
    <row r="91" spans="2:4">
      <c r="B91" s="16">
        <v>38</v>
      </c>
      <c r="C91" s="5"/>
      <c r="D91" s="5"/>
    </row>
    <row r="92" spans="2:4">
      <c r="B92" s="16">
        <v>39</v>
      </c>
      <c r="C92" s="5"/>
      <c r="D92" s="5"/>
    </row>
    <row r="93" spans="2:4">
      <c r="B93" s="16">
        <v>40</v>
      </c>
      <c r="C93" s="5"/>
      <c r="D93" s="5"/>
    </row>
    <row r="94" spans="2:4">
      <c r="B94" s="16">
        <v>41</v>
      </c>
      <c r="C94" s="5"/>
      <c r="D94" s="5"/>
    </row>
    <row r="95" spans="2:4">
      <c r="B95" s="16">
        <v>42</v>
      </c>
      <c r="C95" s="5"/>
      <c r="D95" s="5"/>
    </row>
    <row r="96" spans="2:4">
      <c r="B96" s="16">
        <v>43</v>
      </c>
      <c r="C96" s="5"/>
      <c r="D96" s="5"/>
    </row>
    <row r="97" spans="2:4">
      <c r="B97" s="16">
        <v>44</v>
      </c>
      <c r="C97" s="5"/>
      <c r="D97" s="5"/>
    </row>
    <row r="98" spans="2:4">
      <c r="B98" s="16">
        <v>45</v>
      </c>
      <c r="C98" s="5"/>
      <c r="D98" s="5"/>
    </row>
    <row r="99" spans="2:4">
      <c r="B99" s="16">
        <v>46</v>
      </c>
      <c r="C99" s="5"/>
      <c r="D99" s="5"/>
    </row>
    <row r="100" spans="2:4">
      <c r="B100" s="16">
        <v>47</v>
      </c>
      <c r="C100" s="5"/>
      <c r="D100" s="5"/>
    </row>
    <row r="101" spans="2:4">
      <c r="B101" s="16">
        <v>48</v>
      </c>
      <c r="C101" s="5"/>
      <c r="D101" s="5"/>
    </row>
    <row r="102" spans="2:4">
      <c r="B102" s="16">
        <v>49</v>
      </c>
      <c r="C102" s="5"/>
      <c r="D102" s="5"/>
    </row>
    <row r="103" spans="2:4">
      <c r="B103" s="16">
        <v>50</v>
      </c>
      <c r="C103" s="5"/>
      <c r="D103" s="5"/>
    </row>
    <row r="104" spans="2:4">
      <c r="B104" s="16">
        <v>51</v>
      </c>
      <c r="C104" s="5"/>
      <c r="D104" s="5"/>
    </row>
    <row r="105" spans="2:4">
      <c r="B105" s="16">
        <v>52</v>
      </c>
      <c r="C105" s="5"/>
      <c r="D105" s="5"/>
    </row>
    <row r="106" spans="2:4">
      <c r="B106" s="16">
        <v>53</v>
      </c>
      <c r="C106" s="5"/>
      <c r="D106" s="5"/>
    </row>
    <row r="107" spans="2:4">
      <c r="B107" s="16">
        <v>54</v>
      </c>
      <c r="C107" s="5"/>
      <c r="D107" s="5"/>
    </row>
    <row r="108" spans="2:4">
      <c r="B108" s="16">
        <v>55</v>
      </c>
      <c r="C108" s="5"/>
      <c r="D108" s="5"/>
    </row>
    <row r="109" spans="2:4">
      <c r="B109" s="16">
        <v>56</v>
      </c>
      <c r="C109" s="5"/>
      <c r="D109" s="5"/>
    </row>
    <row r="110" spans="2:4">
      <c r="B110" s="16">
        <v>57</v>
      </c>
      <c r="C110" s="5"/>
      <c r="D110" s="5"/>
    </row>
    <row r="111" spans="2:4">
      <c r="B111" s="16">
        <v>58</v>
      </c>
      <c r="C111" s="5"/>
      <c r="D111" s="5"/>
    </row>
    <row r="112" spans="2:4">
      <c r="B112" s="16">
        <v>59</v>
      </c>
      <c r="C112" s="5"/>
      <c r="D112" s="5"/>
    </row>
    <row r="113" spans="2:4">
      <c r="B113" s="16">
        <v>60</v>
      </c>
      <c r="C113" s="5"/>
      <c r="D113" s="5"/>
    </row>
    <row r="114" spans="2:4">
      <c r="B114" s="16">
        <v>61</v>
      </c>
      <c r="C114" s="5"/>
      <c r="D114" s="5"/>
    </row>
    <row r="115" spans="2:4">
      <c r="B115" s="16">
        <v>62</v>
      </c>
      <c r="C115" s="5"/>
      <c r="D115" s="5"/>
    </row>
    <row r="116" spans="2:4">
      <c r="B116" s="16">
        <v>63</v>
      </c>
      <c r="C116" s="5"/>
      <c r="D116" s="5"/>
    </row>
    <row r="117" spans="2:4">
      <c r="B117" s="16">
        <v>64</v>
      </c>
      <c r="C117" s="5"/>
      <c r="D117" s="5"/>
    </row>
    <row r="118" spans="2:4">
      <c r="B118" s="16">
        <v>65</v>
      </c>
      <c r="C118" s="5"/>
      <c r="D118" s="5"/>
    </row>
    <row r="119" spans="2:4">
      <c r="B119" s="16">
        <v>66</v>
      </c>
      <c r="C119" s="5"/>
      <c r="D119" s="5"/>
    </row>
    <row r="120" spans="2:4">
      <c r="B120" s="16">
        <v>67</v>
      </c>
      <c r="C120" s="5"/>
      <c r="D120" s="5"/>
    </row>
    <row r="121" spans="2:4">
      <c r="B121" s="16">
        <v>68</v>
      </c>
      <c r="C121" s="5"/>
      <c r="D121" s="5"/>
    </row>
    <row r="122" spans="2:4">
      <c r="B122" s="16">
        <v>69</v>
      </c>
      <c r="C122" s="5"/>
      <c r="D122" s="5"/>
    </row>
    <row r="123" spans="2:4">
      <c r="B123" s="16">
        <v>70</v>
      </c>
      <c r="C123" s="5"/>
      <c r="D123" s="5"/>
    </row>
    <row r="124" spans="2:4">
      <c r="B124" s="16">
        <v>71</v>
      </c>
      <c r="C124" s="5"/>
      <c r="D124" s="5"/>
    </row>
    <row r="125" spans="2:4">
      <c r="B125" s="16">
        <v>72</v>
      </c>
      <c r="C125" s="5"/>
      <c r="D125" s="5"/>
    </row>
    <row r="126" spans="2:4">
      <c r="B126" s="16">
        <v>73</v>
      </c>
      <c r="C126" s="5"/>
      <c r="D126" s="5"/>
    </row>
    <row r="127" spans="2:4">
      <c r="B127" s="16">
        <v>74</v>
      </c>
      <c r="C127" s="5"/>
      <c r="D127" s="5"/>
    </row>
    <row r="128" spans="2:4">
      <c r="B128" s="16">
        <v>75</v>
      </c>
      <c r="C128" s="5"/>
      <c r="D128" s="5"/>
    </row>
    <row r="129" spans="2:4">
      <c r="B129" s="16">
        <v>76</v>
      </c>
      <c r="C129" s="5"/>
      <c r="D129" s="5"/>
    </row>
    <row r="130" spans="2:4">
      <c r="B130" s="16">
        <v>77</v>
      </c>
      <c r="C130" s="5"/>
      <c r="D130" s="5"/>
    </row>
    <row r="131" spans="2:4">
      <c r="B131" s="16">
        <v>78</v>
      </c>
      <c r="C131" s="5"/>
      <c r="D131" s="5"/>
    </row>
    <row r="132" spans="2:4">
      <c r="B132" s="16">
        <v>79</v>
      </c>
      <c r="C132" s="5"/>
      <c r="D132" s="5"/>
    </row>
    <row r="133" spans="2:4">
      <c r="B133" s="16">
        <v>80</v>
      </c>
      <c r="C133" s="5"/>
      <c r="D133" s="5"/>
    </row>
    <row r="134" spans="2:4">
      <c r="B134" s="18"/>
      <c r="C134" s="5"/>
      <c r="D134" s="5"/>
    </row>
    <row r="189" spans="2:3">
      <c r="B189" s="19" t="s">
        <v>376</v>
      </c>
      <c r="C189" s="14" t="s">
        <v>147</v>
      </c>
    </row>
    <row r="190" spans="2:3">
      <c r="B190" s="20">
        <v>1</v>
      </c>
      <c r="C190" s="5" t="s">
        <v>82</v>
      </c>
    </row>
    <row r="191" spans="2:3" ht="16.8">
      <c r="B191" s="20">
        <v>2</v>
      </c>
      <c r="C191" s="21" t="s">
        <v>89</v>
      </c>
    </row>
    <row r="192" spans="2:3">
      <c r="B192" s="20">
        <v>3</v>
      </c>
      <c r="C192" s="5" t="s">
        <v>377</v>
      </c>
    </row>
    <row r="193" spans="2:3">
      <c r="B193" s="20">
        <v>4</v>
      </c>
      <c r="C193" s="5" t="s">
        <v>136</v>
      </c>
    </row>
    <row r="194" spans="2:3">
      <c r="B194" s="20">
        <v>5</v>
      </c>
      <c r="C194" s="5" t="s">
        <v>378</v>
      </c>
    </row>
    <row r="195" spans="2:3">
      <c r="B195" s="20">
        <v>6</v>
      </c>
      <c r="C195" s="5" t="s">
        <v>94</v>
      </c>
    </row>
    <row r="196" spans="2:3">
      <c r="B196" s="20">
        <v>7</v>
      </c>
      <c r="C196" s="5" t="s">
        <v>170</v>
      </c>
    </row>
    <row r="197" spans="2:3">
      <c r="B197" s="20">
        <v>8</v>
      </c>
      <c r="C197" s="5" t="s">
        <v>187</v>
      </c>
    </row>
    <row r="198" spans="2:3">
      <c r="B198" s="20">
        <v>9</v>
      </c>
      <c r="C198" s="5" t="s">
        <v>171</v>
      </c>
    </row>
    <row r="199" spans="2:3">
      <c r="B199" s="20">
        <v>10</v>
      </c>
      <c r="C199" s="5" t="s">
        <v>379</v>
      </c>
    </row>
    <row r="200" spans="2:3">
      <c r="B200" s="4"/>
      <c r="C200" s="5"/>
    </row>
    <row r="201" spans="2:3">
      <c r="B201" s="4"/>
      <c r="C201" s="5"/>
    </row>
    <row r="202" spans="2:3">
      <c r="B202" s="4"/>
      <c r="C202" s="5"/>
    </row>
    <row r="203" spans="2:3">
      <c r="B203" s="4"/>
      <c r="C203" s="5"/>
    </row>
    <row r="204" spans="2:3">
      <c r="B204" s="4"/>
      <c r="C204" s="5"/>
    </row>
    <row r="205" spans="2:3">
      <c r="B205" s="4"/>
      <c r="C205" s="5"/>
    </row>
    <row r="206" spans="2:3">
      <c r="B206" s="4"/>
      <c r="C206" s="5"/>
    </row>
    <row r="207" spans="2:3">
      <c r="B207" s="4"/>
      <c r="C207" s="5"/>
    </row>
    <row r="208" spans="2:3">
      <c r="B208" s="4"/>
      <c r="C208" s="5"/>
    </row>
    <row r="255" spans="2:4" ht="15.6">
      <c r="B255" s="22" t="s">
        <v>376</v>
      </c>
      <c r="C255" s="23" t="s">
        <v>380</v>
      </c>
      <c r="D255" s="5" t="s">
        <v>194</v>
      </c>
    </row>
    <row r="256" spans="2:4">
      <c r="B256" s="24">
        <v>1</v>
      </c>
      <c r="C256" s="5" t="s">
        <v>157</v>
      </c>
      <c r="D256" s="5" t="s">
        <v>381</v>
      </c>
    </row>
    <row r="257" spans="2:4" ht="15">
      <c r="B257" s="24">
        <v>2</v>
      </c>
      <c r="C257" s="25" t="s">
        <v>162</v>
      </c>
      <c r="D257" s="5" t="s">
        <v>382</v>
      </c>
    </row>
    <row r="261" spans="2:4" ht="15.6">
      <c r="B261" s="26" t="s">
        <v>376</v>
      </c>
      <c r="C261" s="23" t="s">
        <v>240</v>
      </c>
    </row>
    <row r="262" spans="2:4">
      <c r="B262" s="20">
        <v>1</v>
      </c>
      <c r="C262" s="5" t="s">
        <v>383</v>
      </c>
    </row>
    <row r="263" spans="2:4" ht="15">
      <c r="B263" s="20">
        <v>2</v>
      </c>
      <c r="C263" s="25" t="s">
        <v>384</v>
      </c>
    </row>
    <row r="265" spans="2:4" ht="15.6">
      <c r="B265" s="22" t="s">
        <v>376</v>
      </c>
      <c r="C265" s="27" t="s">
        <v>91</v>
      </c>
      <c r="D265" s="5"/>
    </row>
    <row r="266" spans="2:4" ht="100.8">
      <c r="B266" s="24">
        <v>1</v>
      </c>
      <c r="C266" s="28" t="s">
        <v>92</v>
      </c>
      <c r="D266" s="29" t="s">
        <v>385</v>
      </c>
    </row>
    <row r="267" spans="2:4" ht="115.2">
      <c r="B267" s="24">
        <v>2</v>
      </c>
      <c r="C267" s="28" t="s">
        <v>141</v>
      </c>
      <c r="D267" s="29" t="s">
        <v>386</v>
      </c>
    </row>
    <row r="268" spans="2:4" ht="158.4">
      <c r="B268" s="24">
        <v>3</v>
      </c>
      <c r="C268" s="28" t="s">
        <v>148</v>
      </c>
      <c r="D268" s="29" t="s">
        <v>387</v>
      </c>
    </row>
    <row r="269" spans="2:4" ht="187.2">
      <c r="B269" s="24">
        <v>4</v>
      </c>
      <c r="C269" s="5" t="s">
        <v>186</v>
      </c>
      <c r="D269" s="29" t="s">
        <v>388</v>
      </c>
    </row>
    <row r="275" spans="1:8">
      <c r="A275" s="30"/>
      <c r="B275" s="30"/>
      <c r="C275" s="30"/>
      <c r="D275" s="30"/>
      <c r="E275" s="30"/>
      <c r="F275" s="30"/>
      <c r="G275" s="30"/>
    </row>
    <row r="276" spans="1:8" ht="28.8">
      <c r="A276" s="31"/>
      <c r="B276" s="32" t="s">
        <v>22</v>
      </c>
      <c r="C276" s="5" t="s">
        <v>63</v>
      </c>
      <c r="D276" s="33" t="s">
        <v>190</v>
      </c>
      <c r="E276" s="32" t="s">
        <v>389</v>
      </c>
      <c r="F276" s="32" t="s">
        <v>390</v>
      </c>
      <c r="G276" s="32" t="s">
        <v>23</v>
      </c>
      <c r="H276" s="34"/>
    </row>
    <row r="277" spans="1:8">
      <c r="A277" s="35"/>
      <c r="B277" s="36" t="s">
        <v>24</v>
      </c>
      <c r="C277" s="5" t="s">
        <v>391</v>
      </c>
      <c r="D277" s="37" t="s">
        <v>392</v>
      </c>
      <c r="E277" s="36" t="s">
        <v>393</v>
      </c>
      <c r="F277" s="36" t="s">
        <v>211</v>
      </c>
      <c r="G277" s="36"/>
      <c r="H277" s="34"/>
    </row>
    <row r="278" spans="1:8">
      <c r="A278" s="35"/>
      <c r="B278" s="36" t="s">
        <v>25</v>
      </c>
      <c r="C278" s="5" t="s">
        <v>394</v>
      </c>
      <c r="D278" s="37" t="s">
        <v>210</v>
      </c>
      <c r="E278" s="36" t="s">
        <v>209</v>
      </c>
      <c r="F278" s="36" t="s">
        <v>211</v>
      </c>
      <c r="G278" s="36"/>
      <c r="H278" s="34"/>
    </row>
    <row r="279" spans="1:8" ht="43.2">
      <c r="A279" s="35"/>
      <c r="B279" s="36" t="s">
        <v>26</v>
      </c>
      <c r="C279" s="5" t="s">
        <v>395</v>
      </c>
      <c r="D279" s="37" t="s">
        <v>219</v>
      </c>
      <c r="E279" s="36" t="s">
        <v>396</v>
      </c>
      <c r="F279" s="36" t="s">
        <v>397</v>
      </c>
      <c r="G279" s="36"/>
      <c r="H279" s="34"/>
    </row>
    <row r="280" spans="1:8" ht="72">
      <c r="A280" s="35"/>
      <c r="B280" s="38" t="s">
        <v>27</v>
      </c>
      <c r="C280" s="5" t="s">
        <v>398</v>
      </c>
      <c r="D280" s="37" t="s">
        <v>219</v>
      </c>
      <c r="E280" s="36" t="s">
        <v>218</v>
      </c>
      <c r="F280" s="36" t="s">
        <v>399</v>
      </c>
      <c r="G280" s="36"/>
      <c r="H280" s="34"/>
    </row>
    <row r="281" spans="1:8" ht="57.6">
      <c r="A281" s="35"/>
      <c r="B281" s="36" t="s">
        <v>28</v>
      </c>
      <c r="C281" s="5" t="s">
        <v>400</v>
      </c>
      <c r="D281" s="37" t="s">
        <v>219</v>
      </c>
      <c r="E281" s="36" t="s">
        <v>218</v>
      </c>
      <c r="F281" s="36" t="s">
        <v>401</v>
      </c>
      <c r="G281" s="36"/>
      <c r="H281" s="34"/>
    </row>
    <row r="282" spans="1:8" ht="72">
      <c r="A282" s="35"/>
      <c r="B282" s="38" t="s">
        <v>29</v>
      </c>
      <c r="C282" s="5" t="s">
        <v>402</v>
      </c>
      <c r="D282" s="37" t="s">
        <v>219</v>
      </c>
      <c r="E282" s="36" t="s">
        <v>218</v>
      </c>
      <c r="F282" s="36" t="s">
        <v>403</v>
      </c>
      <c r="G282" s="36"/>
      <c r="H282" s="34"/>
    </row>
    <row r="283" spans="1:8" ht="72">
      <c r="A283" s="35"/>
      <c r="B283" s="38" t="s">
        <v>30</v>
      </c>
      <c r="C283" s="5" t="s">
        <v>404</v>
      </c>
      <c r="D283" s="37" t="s">
        <v>405</v>
      </c>
      <c r="E283" s="36" t="s">
        <v>218</v>
      </c>
      <c r="F283" s="36" t="s">
        <v>406</v>
      </c>
      <c r="G283" s="36"/>
      <c r="H283" s="34"/>
    </row>
    <row r="284" spans="1:8" ht="72">
      <c r="A284" s="35"/>
      <c r="B284" s="38" t="s">
        <v>31</v>
      </c>
      <c r="C284" s="5" t="s">
        <v>407</v>
      </c>
      <c r="D284" s="37" t="s">
        <v>408</v>
      </c>
      <c r="E284" s="36" t="s">
        <v>218</v>
      </c>
      <c r="F284" s="36" t="s">
        <v>406</v>
      </c>
      <c r="G284" s="36"/>
      <c r="H284" s="34"/>
    </row>
    <row r="285" spans="1:8">
      <c r="A285" s="35"/>
      <c r="B285" s="36" t="s">
        <v>32</v>
      </c>
      <c r="C285" s="5" t="s">
        <v>409</v>
      </c>
      <c r="D285" s="37" t="s">
        <v>410</v>
      </c>
      <c r="E285" s="36" t="s">
        <v>209</v>
      </c>
      <c r="F285" s="36" t="s">
        <v>211</v>
      </c>
      <c r="G285" s="36"/>
      <c r="H285" s="34"/>
    </row>
    <row r="286" spans="1:8" ht="86.4">
      <c r="A286" s="35"/>
      <c r="B286" s="38" t="s">
        <v>33</v>
      </c>
      <c r="C286" s="5" t="s">
        <v>411</v>
      </c>
      <c r="D286" s="37" t="s">
        <v>253</v>
      </c>
      <c r="E286" s="36" t="s">
        <v>412</v>
      </c>
      <c r="F286" s="36" t="s">
        <v>413</v>
      </c>
      <c r="G286" s="36"/>
      <c r="H286" s="34"/>
    </row>
    <row r="287" spans="1:8">
      <c r="A287" s="35"/>
      <c r="B287" s="36" t="s">
        <v>34</v>
      </c>
      <c r="C287" s="5" t="s">
        <v>414</v>
      </c>
      <c r="D287" s="39" t="s">
        <v>415</v>
      </c>
      <c r="E287" s="38" t="s">
        <v>209</v>
      </c>
      <c r="F287" s="38" t="s">
        <v>211</v>
      </c>
      <c r="G287" s="38"/>
      <c r="H287" s="34"/>
    </row>
    <row r="288" spans="1:8">
      <c r="A288" s="35"/>
      <c r="B288" s="36" t="s">
        <v>88</v>
      </c>
      <c r="C288" s="29" t="s">
        <v>416</v>
      </c>
      <c r="D288" s="40"/>
      <c r="E288" s="41"/>
      <c r="F288" s="41"/>
      <c r="G288" s="41"/>
      <c r="H288" s="5"/>
    </row>
    <row r="289" spans="1:8" ht="28.8">
      <c r="A289" s="35"/>
      <c r="B289" s="36" t="s">
        <v>160</v>
      </c>
      <c r="C289" s="5" t="s">
        <v>417</v>
      </c>
      <c r="D289" s="40"/>
      <c r="E289" s="41"/>
      <c r="F289" s="41"/>
      <c r="G289" s="41"/>
      <c r="H289" s="34"/>
    </row>
    <row r="290" spans="1:8">
      <c r="A290" s="35"/>
      <c r="B290" s="36" t="s">
        <v>140</v>
      </c>
      <c r="C290" s="5" t="s">
        <v>418</v>
      </c>
      <c r="D290" s="42"/>
      <c r="E290" s="42"/>
      <c r="F290" s="42"/>
      <c r="G290" s="42"/>
      <c r="H290" s="43"/>
    </row>
    <row r="291" spans="1:8">
      <c r="A291" s="35"/>
      <c r="B291" s="36" t="s">
        <v>164</v>
      </c>
      <c r="C291" s="5" t="s">
        <v>419</v>
      </c>
      <c r="D291" s="42"/>
      <c r="E291" s="42"/>
      <c r="F291" s="42"/>
      <c r="G291" s="43"/>
    </row>
    <row r="292" spans="1:8" ht="57.6">
      <c r="A292" s="35"/>
      <c r="B292" s="5" t="s">
        <v>186</v>
      </c>
      <c r="C292" s="29" t="s">
        <v>388</v>
      </c>
      <c r="D292" s="42"/>
      <c r="E292" s="42"/>
      <c r="F292" s="42"/>
      <c r="G292" s="43"/>
    </row>
    <row r="293" spans="1:8">
      <c r="A293" s="35"/>
      <c r="B293" s="35"/>
      <c r="C293" s="35"/>
      <c r="D293" s="35"/>
      <c r="E293" s="35"/>
      <c r="F293" s="35"/>
      <c r="G293" s="43"/>
    </row>
    <row r="294" spans="1:8">
      <c r="A294" s="35"/>
      <c r="B294" s="35"/>
      <c r="C294" s="35"/>
      <c r="D294" s="35"/>
      <c r="E294" s="35"/>
      <c r="F294" s="35"/>
      <c r="G294" s="44"/>
    </row>
    <row r="295" spans="1:8">
      <c r="A295" s="45"/>
      <c r="B295" s="36"/>
      <c r="C295" s="36"/>
      <c r="D295" s="36"/>
      <c r="E295" s="36"/>
      <c r="F295" s="36"/>
      <c r="G295" s="34"/>
    </row>
    <row r="296" spans="1:8">
      <c r="A296" s="45"/>
      <c r="B296" s="36" t="s">
        <v>22</v>
      </c>
      <c r="C296" s="36" t="s">
        <v>190</v>
      </c>
      <c r="D296" s="36" t="s">
        <v>420</v>
      </c>
      <c r="E296" s="36" t="s">
        <v>421</v>
      </c>
      <c r="F296" s="36" t="s">
        <v>422</v>
      </c>
      <c r="G296" s="36" t="s">
        <v>36</v>
      </c>
    </row>
    <row r="297" spans="1:8">
      <c r="A297" s="45"/>
      <c r="B297" s="36" t="s">
        <v>37</v>
      </c>
      <c r="C297" s="36" t="s">
        <v>423</v>
      </c>
      <c r="D297" s="36" t="s">
        <v>424</v>
      </c>
      <c r="E297" s="36" t="s">
        <v>425</v>
      </c>
      <c r="F297" s="36" t="s">
        <v>425</v>
      </c>
      <c r="G297" s="36"/>
    </row>
    <row r="298" spans="1:8" ht="72">
      <c r="A298" s="45"/>
      <c r="B298" s="36" t="s">
        <v>38</v>
      </c>
      <c r="C298" s="36" t="s">
        <v>426</v>
      </c>
      <c r="D298" s="36" t="s">
        <v>427</v>
      </c>
      <c r="E298" s="36" t="s">
        <v>428</v>
      </c>
      <c r="F298" s="36" t="s">
        <v>428</v>
      </c>
      <c r="G298" s="36"/>
    </row>
    <row r="299" spans="1:8" ht="72">
      <c r="A299" s="45"/>
      <c r="B299" s="36" t="s">
        <v>39</v>
      </c>
      <c r="C299" s="36" t="s">
        <v>429</v>
      </c>
      <c r="D299" s="36" t="s">
        <v>427</v>
      </c>
      <c r="E299" s="36" t="s">
        <v>428</v>
      </c>
      <c r="F299" s="36" t="s">
        <v>428</v>
      </c>
      <c r="G299" s="36"/>
    </row>
    <row r="300" spans="1:8" ht="28.8">
      <c r="A300" s="45"/>
      <c r="B300" s="36" t="s">
        <v>40</v>
      </c>
      <c r="C300" s="36" t="s">
        <v>430</v>
      </c>
      <c r="D300" s="36" t="s">
        <v>431</v>
      </c>
      <c r="E300" s="36" t="s">
        <v>432</v>
      </c>
      <c r="F300" s="36" t="s">
        <v>432</v>
      </c>
      <c r="G300" s="36"/>
    </row>
    <row r="301" spans="1:8" ht="14.25" customHeight="1">
      <c r="A301" s="140"/>
      <c r="B301" s="38" t="s">
        <v>41</v>
      </c>
      <c r="C301" s="36" t="s">
        <v>433</v>
      </c>
      <c r="D301" s="36" t="s">
        <v>434</v>
      </c>
      <c r="E301" s="36" t="s">
        <v>435</v>
      </c>
      <c r="F301" s="36" t="s">
        <v>436</v>
      </c>
      <c r="G301" s="36"/>
    </row>
    <row r="302" spans="1:8">
      <c r="A302" s="140"/>
      <c r="B302" s="38"/>
      <c r="C302" s="36"/>
      <c r="D302" s="36"/>
      <c r="E302" s="36"/>
      <c r="F302" s="36" t="s">
        <v>437</v>
      </c>
      <c r="G302" s="36"/>
    </row>
    <row r="303" spans="1:8" ht="28.8">
      <c r="A303" s="45"/>
      <c r="B303" s="36" t="s">
        <v>42</v>
      </c>
      <c r="C303" s="36" t="s">
        <v>438</v>
      </c>
      <c r="D303" s="36" t="s">
        <v>424</v>
      </c>
      <c r="E303" s="36" t="s">
        <v>439</v>
      </c>
      <c r="F303" s="36" t="s">
        <v>440</v>
      </c>
      <c r="G303" s="36"/>
    </row>
    <row r="304" spans="1:8" ht="28.8">
      <c r="A304" s="45"/>
      <c r="B304" s="36" t="s">
        <v>43</v>
      </c>
      <c r="C304" s="36" t="s">
        <v>441</v>
      </c>
      <c r="D304" s="36" t="s">
        <v>424</v>
      </c>
      <c r="E304" s="36" t="s">
        <v>439</v>
      </c>
      <c r="F304" s="36" t="s">
        <v>440</v>
      </c>
      <c r="G304" s="36"/>
    </row>
    <row r="305" spans="1:7" ht="28.8">
      <c r="A305" s="45"/>
      <c r="B305" s="36" t="s">
        <v>44</v>
      </c>
      <c r="C305" s="36" t="s">
        <v>442</v>
      </c>
      <c r="D305" s="36" t="s">
        <v>424</v>
      </c>
      <c r="E305" s="36" t="s">
        <v>439</v>
      </c>
      <c r="F305" s="36" t="s">
        <v>440</v>
      </c>
      <c r="G305" s="36"/>
    </row>
    <row r="306" spans="1:7" ht="28.8">
      <c r="A306" s="45"/>
      <c r="B306" s="38" t="s">
        <v>45</v>
      </c>
      <c r="C306" s="36" t="s">
        <v>443</v>
      </c>
      <c r="D306" s="36" t="s">
        <v>444</v>
      </c>
      <c r="E306" s="36" t="s">
        <v>445</v>
      </c>
      <c r="F306" s="36" t="s">
        <v>446</v>
      </c>
      <c r="G306" s="36"/>
    </row>
    <row r="307" spans="1:7" ht="14.25" customHeight="1">
      <c r="A307" s="45"/>
      <c r="B307" s="38" t="s">
        <v>46</v>
      </c>
      <c r="C307" s="36" t="s">
        <v>447</v>
      </c>
      <c r="D307" s="36" t="s">
        <v>448</v>
      </c>
      <c r="E307" s="36" t="s">
        <v>449</v>
      </c>
      <c r="F307" s="36" t="s">
        <v>450</v>
      </c>
      <c r="G307" s="36"/>
    </row>
    <row r="308" spans="1:7" ht="14.25" customHeight="1">
      <c r="A308" s="45"/>
      <c r="B308" s="38" t="s">
        <v>47</v>
      </c>
      <c r="C308" s="36" t="s">
        <v>451</v>
      </c>
      <c r="D308" s="36" t="s">
        <v>448</v>
      </c>
      <c r="E308" s="36" t="s">
        <v>449</v>
      </c>
      <c r="F308" s="36" t="s">
        <v>452</v>
      </c>
      <c r="G308" s="36"/>
    </row>
    <row r="309" spans="1:7" ht="14.25" customHeight="1">
      <c r="A309" s="45"/>
      <c r="B309" s="38" t="s">
        <v>48</v>
      </c>
      <c r="C309" s="36" t="s">
        <v>453</v>
      </c>
      <c r="D309" s="36" t="s">
        <v>454</v>
      </c>
      <c r="E309" s="36" t="s">
        <v>455</v>
      </c>
      <c r="F309" s="36" t="s">
        <v>456</v>
      </c>
      <c r="G309" s="36"/>
    </row>
    <row r="310" spans="1:7" ht="43.2">
      <c r="A310" s="45"/>
      <c r="B310" s="36" t="s">
        <v>49</v>
      </c>
      <c r="C310" s="36" t="s">
        <v>457</v>
      </c>
      <c r="D310" s="36" t="s">
        <v>458</v>
      </c>
      <c r="E310" s="36" t="s">
        <v>459</v>
      </c>
      <c r="F310" s="36" t="s">
        <v>459</v>
      </c>
      <c r="G310" s="36"/>
    </row>
    <row r="311" spans="1:7" ht="43.2">
      <c r="A311" s="45"/>
      <c r="B311" s="36" t="s">
        <v>50</v>
      </c>
      <c r="C311" s="36" t="s">
        <v>460</v>
      </c>
      <c r="D311" s="36" t="s">
        <v>461</v>
      </c>
      <c r="E311" s="36" t="s">
        <v>462</v>
      </c>
      <c r="F311" s="36" t="s">
        <v>463</v>
      </c>
      <c r="G311" s="36"/>
    </row>
    <row r="312" spans="1:7" ht="43.2">
      <c r="A312" s="45"/>
      <c r="B312" s="36" t="s">
        <v>51</v>
      </c>
      <c r="C312" s="36" t="s">
        <v>464</v>
      </c>
      <c r="D312" s="36" t="s">
        <v>465</v>
      </c>
      <c r="E312" s="36" t="s">
        <v>466</v>
      </c>
      <c r="F312" s="36" t="s">
        <v>466</v>
      </c>
      <c r="G312" s="36"/>
    </row>
    <row r="313" spans="1:7" ht="72">
      <c r="A313" s="45"/>
      <c r="B313" s="36" t="s">
        <v>52</v>
      </c>
      <c r="C313" s="36" t="s">
        <v>467</v>
      </c>
      <c r="D313" s="36" t="s">
        <v>468</v>
      </c>
      <c r="E313" s="36" t="s">
        <v>52</v>
      </c>
      <c r="F313" s="36" t="s">
        <v>52</v>
      </c>
      <c r="G313" s="36"/>
    </row>
    <row r="314" spans="1:7">
      <c r="A314" s="45"/>
      <c r="B314" s="36" t="s">
        <v>53</v>
      </c>
      <c r="C314" s="36" t="s">
        <v>469</v>
      </c>
      <c r="D314" s="36" t="s">
        <v>470</v>
      </c>
      <c r="E314" s="36" t="s">
        <v>471</v>
      </c>
      <c r="F314" s="36" t="s">
        <v>471</v>
      </c>
      <c r="G314" s="36"/>
    </row>
    <row r="315" spans="1:7" ht="14.25" customHeight="1">
      <c r="A315" s="45"/>
      <c r="B315" s="38" t="s">
        <v>54</v>
      </c>
      <c r="C315" s="36" t="s">
        <v>472</v>
      </c>
      <c r="D315" s="36" t="s">
        <v>473</v>
      </c>
      <c r="E315" s="36" t="s">
        <v>435</v>
      </c>
      <c r="F315" s="36" t="s">
        <v>474</v>
      </c>
      <c r="G315" s="36"/>
    </row>
    <row r="316" spans="1:7" ht="14.25" customHeight="1">
      <c r="A316" s="45"/>
      <c r="B316" s="38" t="s">
        <v>55</v>
      </c>
      <c r="C316" s="36" t="s">
        <v>475</v>
      </c>
      <c r="D316" s="36" t="s">
        <v>476</v>
      </c>
      <c r="E316" s="36" t="s">
        <v>435</v>
      </c>
      <c r="F316" s="36" t="s">
        <v>477</v>
      </c>
      <c r="G316" s="36"/>
    </row>
    <row r="317" spans="1:7" ht="28.8">
      <c r="A317" s="45"/>
      <c r="B317" s="38" t="s">
        <v>56</v>
      </c>
      <c r="C317" s="36" t="s">
        <v>478</v>
      </c>
      <c r="D317" s="36" t="s">
        <v>479</v>
      </c>
      <c r="E317" s="36" t="s">
        <v>435</v>
      </c>
      <c r="F317" s="36" t="s">
        <v>480</v>
      </c>
      <c r="G317" s="36"/>
    </row>
    <row r="318" spans="1:7" ht="14.25" customHeight="1">
      <c r="A318" s="45"/>
      <c r="B318" s="38" t="s">
        <v>57</v>
      </c>
      <c r="C318" s="36" t="s">
        <v>481</v>
      </c>
      <c r="D318" s="36" t="s">
        <v>482</v>
      </c>
      <c r="E318" s="36" t="s">
        <v>435</v>
      </c>
      <c r="F318" s="36" t="s">
        <v>483</v>
      </c>
      <c r="G318" s="36"/>
    </row>
    <row r="319" spans="1:7">
      <c r="A319" s="45"/>
      <c r="B319" s="36" t="s">
        <v>12</v>
      </c>
      <c r="C319" s="36" t="s">
        <v>484</v>
      </c>
      <c r="D319" s="36"/>
      <c r="E319" s="36" t="s">
        <v>435</v>
      </c>
      <c r="F319" s="36" t="s">
        <v>485</v>
      </c>
      <c r="G319" s="36"/>
    </row>
    <row r="340" spans="2:7">
      <c r="B340" t="s">
        <v>486</v>
      </c>
      <c r="C340" t="s">
        <v>487</v>
      </c>
      <c r="D340" t="s">
        <v>488</v>
      </c>
      <c r="E340" t="s">
        <v>489</v>
      </c>
      <c r="G340" t="s">
        <v>189</v>
      </c>
    </row>
    <row r="341" spans="2:7">
      <c r="B341" s="46">
        <v>8</v>
      </c>
      <c r="C341" t="s">
        <v>490</v>
      </c>
      <c r="D341" t="s">
        <v>84</v>
      </c>
      <c r="E341" t="s">
        <v>158</v>
      </c>
      <c r="G341" t="s">
        <v>85</v>
      </c>
    </row>
    <row r="342" spans="2:7">
      <c r="B342" s="46">
        <v>16</v>
      </c>
      <c r="C342" t="s">
        <v>491</v>
      </c>
      <c r="D342" t="s">
        <v>96</v>
      </c>
      <c r="E342" t="s">
        <v>167</v>
      </c>
    </row>
    <row r="343" spans="2:7">
      <c r="B343" s="46">
        <v>32</v>
      </c>
      <c r="C343" t="s">
        <v>492</v>
      </c>
      <c r="D343" t="s">
        <v>493</v>
      </c>
      <c r="E343" t="s">
        <v>188</v>
      </c>
    </row>
    <row r="344" spans="2:7">
      <c r="B344" s="46">
        <v>64</v>
      </c>
      <c r="C344" t="s">
        <v>494</v>
      </c>
      <c r="D344" t="s">
        <v>495</v>
      </c>
    </row>
    <row r="345" spans="2:7">
      <c r="C345" t="s">
        <v>496</v>
      </c>
      <c r="D345" t="s">
        <v>497</v>
      </c>
    </row>
    <row r="346" spans="2:7">
      <c r="C346" t="s">
        <v>498</v>
      </c>
    </row>
  </sheetData>
  <mergeCells count="9">
    <mergeCell ref="L2:L3"/>
    <mergeCell ref="M2:M3"/>
    <mergeCell ref="M15:M16"/>
    <mergeCell ref="N2:N3"/>
    <mergeCell ref="A301:A302"/>
    <mergeCell ref="H2:H3"/>
    <mergeCell ref="I2:I3"/>
    <mergeCell ref="J2:J3"/>
    <mergeCell ref="K2:K3"/>
  </mergeCells>
  <pageMargins left="0.7" right="0.7" top="0.75" bottom="0.75" header="0.511811023622047" footer="0.511811023622047"/>
  <pageSetup paperSize="9" orientation="portrait" horizontalDpi="300" verticalDpi="30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rangeList sheetStid="12" master="" otherUserPermission="visible"/>
  <rangeList sheetStid="13" master="" otherUserPermission="visible"/>
  <rangeList sheetStid="14" master="" otherUserPermission="visible"/>
  <rangeList sheetStid="15" master="" otherUserPermission="visible"/>
  <rangeList sheetStid="16" master="" otherUserPermission="visible"/>
  <rangeList sheetStid="17" master="" otherUserPermission="visible"/>
  <rangeList sheetStid="18" master="" otherUserPermission="visible"/>
  <rangeList sheetStid="19" master="" otherUserPermission="visible"/>
  <rangeList sheetStid="20" master="" otherUserPermission="visible"/>
  <rangeList sheetStid="21" master="" otherUserPermission="visible"/>
  <rangeList sheetStid="22" master="" otherUserPermission="visible"/>
  <rangeList sheetStid="23" master="" otherUserPermission="visible"/>
  <rangeList sheetStid="25" master="" otherUserPermission="visible"/>
  <rangeList sheetStid="26" master="" otherUserPermission="visible"/>
  <rangeList sheetStid="2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General Information</vt:lpstr>
      <vt:lpstr>Example Frame </vt:lpstr>
      <vt:lpstr>Voltage</vt:lpstr>
      <vt:lpstr>Power</vt:lpstr>
      <vt:lpstr>HiddenSheet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sudharani utkoori</cp:lastModifiedBy>
  <cp:revision>44</cp:revision>
  <dcterms:created xsi:type="dcterms:W3CDTF">2023-11-18T04:49:00Z</dcterms:created>
  <dcterms:modified xsi:type="dcterms:W3CDTF">2025-06-02T10:04:32Z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B102D7ABFADB42C689FFDE3A6FE08C60_12</vt:lpwstr>
  </property>
  <property fmtid="{D5CDD505-2E9C-101B-9397-08002B2CF9AE}" pid="3" name="KSOProductBuildVer">
    <vt:lpwstr>1033-12.2.0.19805</vt:lpwstr>
  </property>
</Properties>
</file>